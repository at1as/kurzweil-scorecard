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35732ead3f4a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31e6eacdf98e4bc5"/>
    <x:sheet xmlns:r="http://schemas.openxmlformats.org/officeDocument/2006/relationships" name="Scorecard" sheetId="2" r:id="Rf0b3c6186ef9421a"/>
    <x:sheet xmlns:r="http://schemas.openxmlformats.org/officeDocument/2006/relationships" name="Ledger" sheetId="3" r:id="Rb39eee286720475d"/>
    <x:sheet xmlns:r="http://schemas.openxmlformats.org/officeDocument/2006/relationships" name="Legacy import" sheetId="4" r:id="R669f6852d34844bc"/>
    <x:sheet xmlns:r="http://schemas.openxmlformats.org/officeDocument/2006/relationships" name="By category" sheetId="5" r:id="R0c71b2831c0d4c47"/>
    <x:sheet xmlns:r="http://schemas.openxmlformats.org/officeDocument/2006/relationships" name="Rubric" sheetId="6" r:id="R454a1e39ea96426e"/>
    <x:sheet xmlns:r="http://schemas.openxmlformats.org/officeDocument/2006/relationships" name="Categories" sheetId="7" r:id="R32e32223d07f4c02"/>
    <x:sheet xmlns:r="http://schemas.openxmlformats.org/officeDocument/2006/relationships" name="Coverage" sheetId="8" r:id="R7311a3a29f3841e2"/>
    <x:sheet xmlns:r="http://schemas.openxmlformats.org/officeDocument/2006/relationships" name="Data dictionary" sheetId="9" r:id="R0c19f6e86ca84a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7">
    <x:font>
      <x:sz val="11"/>
      <x:name val="Carlito"/>
    </x:font>
    <x:font>
      <x:sz val="11"/>
      <x:name val="Aptos"/>
    </x:font>
    <x:font>
      <x:sz val="10"/>
      <x:name val="Aptos"/>
    </x:font>
    <x:font>
      <x:b/>
      <x:sz val="18"/>
      <x:color rgb="FFFFFFFF"/>
      <x:name val="Aptos"/>
    </x:font>
    <x:font>
      <x:b/>
      <x:sz val="10"/>
      <x:color rgb="FFFFFFFF"/>
      <x:name val="Aptos"/>
    </x:font>
    <x:font>
      <x:b/>
      <x:sz val="20"/>
      <x:color rgb="FFFFFFFF"/>
      <x:name val="Aptos"/>
    </x:font>
    <x:font>
      <x:b/>
      <x:sz val="11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2B4D"/>
      </x:patternFill>
    </x:fill>
    <x:fill>
      <x:patternFill patternType="solid">
        <x:fgColor rgb="FF0B6E75"/>
      </x:patternFill>
    </x:fill>
    <x:fill>
      <x:patternFill patternType="solid">
        <x:fgColor rgb="FFFFF3D4"/>
      </x:patternFill>
    </x:fill>
    <x:fill>
      <x:patternFill patternType="solid">
        <x:fgColor rgb="FFEEF4F7"/>
      </x:patternFill>
    </x:fill>
  </x:fills>
  <x:borders count="2">
    <x:border/>
    <x:border/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1" xfId="0" applyNumberFormat="1" applyFont="1" applyFill="1" applyBorder="1"/>
    <x:xf numFmtId="0" fontId="2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2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vertical="top" wrapText="1"/>
    </x:xf>
    <x:xf numFmtId="201" fontId="2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wrapText="0"/>
    </x:xf>
    <x:xf numFmtId="0" fontId="3" fillId="2" borderId="1" xfId="0" applyNumberFormat="1" applyFont="1" applyFill="1" applyBorder="1" applyAlignment="1">
      <x:alignment wrapText="0"/>
    </x:xf>
    <x:xf numFmtId="0" fontId="2" fillId="4" borderId="0" xfId="0" applyNumberFormat="1" applyFont="1" applyFill="1" applyBorder="1" applyAlignment="1">
      <x:alignment wrapText="0"/>
    </x:xf>
    <x:xf numFmtId="0" fontId="2" fillId="4" borderId="1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0"/>
    </x:xf>
    <x:xf numFmtId="0" fontId="5" fillId="2" borderId="1" xfId="0" applyNumberFormat="1" applyFont="1" applyFill="1" applyBorder="1" applyAlignment="1">
      <x:alignment vertical="top" wrapText="0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ill>
        <x:patternFill patternType="solid">
          <x:bgColor rgb="FFE1F3E8"/>
        </x:patternFill>
      </x:fill>
    </x:dxf>
    <x:dxf>
      <x:fill>
        <x:patternFill patternType="solid">
          <x:bgColor rgb="FFEDE7F6"/>
        </x:patternFill>
      </x:fill>
    </x:dxf>
    <x:dxf>
      <x:fill>
        <x:patternFill patternType="solid">
          <x:bgColor rgb="FFFFF3D4"/>
        </x:patternFill>
      </x:fill>
    </x:dxf>
    <x:dxf>
      <x:fill>
        <x:patternFill patternType="solid">
          <x:bgColor rgb="FFFBE8E6"/>
        </x:patternFill>
      </x:fill>
    </x:dxf>
    <x:dxf>
      <x:fill>
        <x:patternFill patternType="solid">
          <x:bgColor rgb="FFEEF4F7"/>
        </x:patternFill>
      </x:fill>
    </x:dxf>
    <x:dxf>
      <x:fill>
        <x:patternFill patternType="solid">
          <x:bgColor rgb="FFEEF4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acd6d75edd4dbe" /><Relationship Type="http://schemas.openxmlformats.org/officeDocument/2006/relationships/theme" Target="/xl/theme/theme1.xml" Id="Ra1027bf13f7c4e64" /><Relationship Type="http://schemas.openxmlformats.org/officeDocument/2006/relationships/sharedStrings" Target="/xl/sharedStrings.xml" Id="R56f843df54a949d4" /><Relationship Type="http://schemas.openxmlformats.org/officeDocument/2006/relationships/worksheet" Target="/xl/worksheets/sheet1.xml" Id="R31e6eacdf98e4bc5" /><Relationship Type="http://schemas.openxmlformats.org/officeDocument/2006/relationships/worksheet" Target="/xl/worksheets/sheet2.xml" Id="Rf0b3c6186ef9421a" /><Relationship Type="http://schemas.openxmlformats.org/officeDocument/2006/relationships/worksheet" Target="/xl/worksheets/sheet3.xml" Id="Rb39eee286720475d" /><Relationship Type="http://schemas.openxmlformats.org/officeDocument/2006/relationships/worksheet" Target="/xl/worksheets/sheet4.xml" Id="R669f6852d34844bc" /><Relationship Type="http://schemas.openxmlformats.org/officeDocument/2006/relationships/worksheet" Target="/xl/worksheets/sheet5.xml" Id="R0c71b2831c0d4c47" /><Relationship Type="http://schemas.openxmlformats.org/officeDocument/2006/relationships/worksheet" Target="/xl/worksheets/sheet6.xml" Id="R454a1e39ea96426e" /><Relationship Type="http://schemas.openxmlformats.org/officeDocument/2006/relationships/worksheet" Target="/xl/worksheets/sheet7.xml" Id="R32e32223d07f4c02" /><Relationship Type="http://schemas.openxmlformats.org/officeDocument/2006/relationships/worksheet" Target="/xl/worksheets/sheet8.xml" Id="R7311a3a29f3841e2" /><Relationship Type="http://schemas.openxmlformats.org/officeDocument/2006/relationships/worksheet" Target="/xl/worksheets/sheet9.xml" Id="R0c19f6e86ca84aaf" /></Relationships>
</file>

<file path=xl/tables/table1.xml><?xml version="1.0" encoding="utf-8"?>
<x:table xmlns:x="http://schemas.openxmlformats.org/spreadsheetml/2006/main" id="2" name="ScorecardTable" displayName="ScorecardTable" ref="A5:H93" headerRowCount="1" totalsRowCount="0" totalsRowShown="0">
  <x:tableColumns count="8">
    <x:tableColumn id="1" name="ID"/>
    <x:tableColumn id="2" name="Prediction"/>
    <x:tableColumn id="3" name="Category"/>
    <x:tableColumn id="4" name="Target — unverified"/>
    <x:tableColumn id="5" name="Status"/>
    <x:tableColumn id="6" name="Outcome / audit note"/>
    <x:tableColumn id="7" name="Year drift"/>
    <x:tableColumn id="8" name="Years overd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LedgerTable" displayName="LedgerTable" ref="A5:AF93" headerRowCount="1" totalsRowCount="0" totalsRowShown="0">
  <x:tableColumns count="32">
    <x:tableColumn id="1" name="Record ID"/>
    <x:tableColumn id="2" name="Prediction — imported lead"/>
    <x:tableColumn id="3" name="Primary category — draft"/>
    <x:tableColumn id="4" name="Subcategory / secondary tags"/>
    <x:tableColumn id="5" name="Claimed source — legacy"/>
    <x:tableColumn id="6" name="Source year — unconfirmed"/>
    <x:tableColumn id="7" name="Target text — legacy"/>
    <x:tableColumn id="8" name="Confirmed deadline year"/>
    <x:tableColumn id="9" name="At-deadline outcome"/>
    <x:tableColumn id="10" name="Outcome at review"/>
    <x:tableColumn id="11" name="First full-achievement year"/>
    <x:tableColumn id="12" name="Review year"/>
    <x:tableColumn id="13" name="Review state"/>
    <x:tableColumn id="14" name="Canonical for statistics?"/>
    <x:tableColumn id="15" name="Forecast family ID"/>
    <x:tableColumn id="16" name="Parent statement ID"/>
    <x:tableColumn id="17" name="Prediction source URL"/>
    <x:tableColumn id="18" name="Page / paragraph / timestamp"/>
    <x:tableColumn id="19" name="Outcome evidence URLs"/>
    <x:tableColumn id="20" name="Success criteria / scope"/>
    <x:tableColumn id="21" name="Original wording checked?"/>
    <x:tableColumn id="22" name="Adoption stage / claim type"/>
    <x:tableColumn id="23" name="Date precision / target interval"/>
    <x:tableColumn id="24" name="Review notes"/>
    <x:tableColumn id="25" name="Legacy import ID"/>
    <x:tableColumn id="26" name="Display status"/>
    <x:tableColumn id="27" name="Drift — years"/>
    <x:tableColumn id="28" name="Overdue — years"/>
    <x:tableColumn id="29" name="Due and eligible"/>
    <x:tableColumn id="30" name="On-time full hit"/>
    <x:tableColumn id="31" name="Full realization hit"/>
    <x:tableColumn id="32" name="Publication year confirm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egacyimportTable" displayName="LegacyimportTable" ref="A5:R98" headerRowCount="1" totalsRowCount="0" totalsRowShown="0">
  <x:tableColumns count="18">
    <x:tableColumn id="1" name="Import ID"/>
    <x:tableColumn id="2" name="Row type"/>
    <x:tableColumn id="3" name="Report"/>
    <x:tableColumn id="4" name="Line in saved report"/>
    <x:tableColumn id="5" name="Original prediction / normalized claim"/>
    <x:tableColumn id="6" name="Original quoted lead"/>
    <x:tableColumn id="7" name="Original source lead"/>
    <x:tableColumn id="8" name="Original target"/>
    <x:tableColumn id="9" name="Original category"/>
    <x:tableColumn id="10" name="Original status"/>
    <x:tableColumn id="11" name="Original actual year / outcome"/>
    <x:tableColumn id="12" name="Original drift"/>
    <x:tableColumn id="13" name="Original evidence / notes"/>
    <x:tableColumn id="14" name="Original confidence"/>
    <x:tableColumn id="15" name="Original tags"/>
    <x:tableColumn id="16" name="Original citation tokens"/>
    <x:tableColumn id="17" name="Parsing note"/>
    <x:tableColumn id="18" name="Raw row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7" name="BycategoryTable" displayName="BycategoryTable" ref="A5:J18" headerRowCount="1" totalsRowCount="0" totalsRowShown="0">
  <x:tableColumns count="10">
    <x:tableColumn id="1" name="Category"/>
    <x:tableColumn id="2" name="Imported leads"/>
    <x:tableColumn id="3" name="Verified canonical"/>
    <x:tableColumn id="4" name="Due &amp; eligible"/>
    <x:tableColumn id="5" name="On-time full"/>
    <x:tableColumn id="6" name="Realized by review"/>
    <x:tableColumn id="7" name="Partial (current badge)"/>
    <x:tableColumn id="8" name="Pending"/>
    <x:tableColumn id="9" name="On-time %"/>
    <x:tableColumn id="10" name="Realized %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ubricTable" displayName="RubricTable" ref="A5:D15" headerRowCount="1" totalsRowCount="0" totalsRowShown="0">
  <x:tableColumns count="4">
    <x:tableColumn id="1" name="Display label / qualifier"/>
    <x:tableColumn id="2" name="Meaning"/>
    <x:tableColumn id="3" name="Important guardrail"/>
    <x:tableColumn id="4" name="Statistical treatme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4" name="CategoriesTable" displayName="CategoriesTable" ref="A5:C18" headerRowCount="1" totalsRowCount="0" totalsRowShown="0">
  <x:tableColumns count="3">
    <x:tableColumn id="1" name="Primary category"/>
    <x:tableColumn id="2" name="Suggested subcategories"/>
    <x:tableColumn id="3" name="Assignment rul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CoverageTable" displayName="CoverageTable" ref="A5:F18" headerRowCount="1" totalsRowCount="0" totalsRowShown="0">
  <x:tableColumns count="6">
    <x:tableColumn id="1" name="ID"/>
    <x:tableColumn id="2" name="Source / corpus"/>
    <x:tableColumn id="3" name="Expected scope"/>
    <x:tableColumn id="4" name="Extraction state"/>
    <x:tableColumn id="5" name="Source URL / preserved path"/>
    <x:tableColumn id="6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adictionaryTable" displayName="DatadictionaryTable" ref="A5:C28" headerRowCount="1" totalsRowCount="0" totalsRowShown="0">
  <x:tableColumns count="3">
    <x:tableColumn id="1" name="Field / topic"/>
    <x:tableColumn id="2" name="Meaning"/>
    <x:tableColumn id="3" name="Guardr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51cc6febf544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cf3bf5e53e45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330743935b41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4acbe1bf3646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7729d021bdb45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429d3d0ca44f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bb3d49f96a64f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efa528d0ebc4227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9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8" customHeight="1">
      <x:c r="A1" s="68" t="str">
        <x:v>KURZWEIL SCORECARD</x:v>
      </x:c>
      <x:c r="B1" s="65"/>
      <x:c r="C1" s="62"/>
      <x:c r="D1" s="62"/>
      <x:c r="E1" s="62"/>
      <x:c r="F1" s="62"/>
      <x:c r="G1" s="62"/>
      <x:c r="H1" s="62"/>
    </x:row>
    <x:row r="2" ht="28" customHeight="1">
      <x:c r="A2" s="62" t="str">
        <x:v>Working ledger v0.1</x:v>
      </x:c>
      <x:c r="B2" s="62" t="str">
        <x:v>Snapshot: 13 October 2026</x:v>
      </x:c>
      <x:c r="C2" s="62"/>
      <x:c r="D2" s="62"/>
      <x:c r="E2" s="62"/>
      <x:c r="F2" s="62"/>
      <x:c r="G2" s="62"/>
      <x:c r="H2" s="62"/>
    </x:row>
    <x:row r="3" ht="28" customHeight="1">
      <x:c r="A3" s="62"/>
      <x:c r="B3" s="62"/>
      <x:c r="C3" s="62"/>
      <x:c r="D3" s="62"/>
      <x:c r="E3" s="62"/>
      <x:c r="F3" s="62"/>
      <x:c r="G3" s="62"/>
      <x:c r="H3" s="62"/>
    </x:row>
    <x:row r="4" ht="56" customHeight="1">
      <x:c r="A4" s="70" t="str">
        <x:v>Scope of this file</x:v>
      </x:c>
      <x:c r="B4" s="70" t="str">
        <x:v>Recovered research intake and audit structure—not an exhaustive or independently scored prediction corpus. No inherited accuracy percentage is treated as an audit result.</x:v>
      </x:c>
      <x:c r="C4" s="62"/>
      <x:c r="D4" s="62"/>
      <x:c r="E4" s="62"/>
      <x:c r="F4" s="62"/>
      <x:c r="G4" s="62"/>
      <x:c r="H4" s="62"/>
    </x:row>
    <x:row r="5" ht="28" customHeight="1">
      <x:c r="A5" s="62"/>
      <x:c r="B5" s="62"/>
      <x:c r="C5" s="62"/>
      <x:c r="D5" s="62"/>
      <x:c r="E5" s="62"/>
      <x:c r="F5" s="62"/>
      <x:c r="G5" s="62"/>
      <x:c r="H5" s="62"/>
    </x:row>
    <x:row r="6" ht="34" customHeight="1">
      <x:c r="A6" s="72" t="str">
        <x:v>Legacy rows archived</x:v>
      </x:c>
      <x:c r="B6" s="74" t="n">
        <x:f>COUNTA('Legacy import'!A6:A98)</x:f>
        <x:v>93</x:v>
      </x:c>
      <x:c r="C6" s="62"/>
      <x:c r="D6" s="62"/>
      <x:c r="E6" s="62"/>
      <x:c r="F6" s="62"/>
      <x:c r="G6" s="62"/>
      <x:c r="H6" s="62"/>
    </x:row>
    <x:row r="7" ht="34" customHeight="1">
      <x:c r="A7" s="72" t="str">
        <x:v>Candidate rows (duplicates included)</x:v>
      </x:c>
      <x:c r="B7" s="74" t="n">
        <x:f>COUNTA(Ledger!A6:A505)</x:f>
        <x:v>88</x:v>
      </x:c>
      <x:c r="C7" s="62"/>
      <x:c r="D7" s="62"/>
      <x:c r="E7" s="62"/>
      <x:c r="F7" s="62"/>
      <x:c r="G7" s="62"/>
      <x:c r="H7" s="62"/>
    </x:row>
    <x:row r="8" ht="34" customHeight="1">
      <x:c r="A8" s="72" t="str">
        <x:v>Verified canonical predictions</x:v>
      </x:c>
      <x:c r="B8" s="74" t="n">
        <x:f>COUNTIFS(Ledger!M6:M505,"VERIFIED",Ledger!N6:N505,"YES")</x:f>
        <x:v>0</x:v>
      </x:c>
      <x:c r="C8" s="62"/>
      <x:c r="D8" s="62"/>
      <x:c r="E8" s="62"/>
      <x:c r="F8" s="62"/>
      <x:c r="G8" s="62"/>
      <x:c r="H8" s="62"/>
    </x:row>
    <x:row r="9" ht="34" customHeight="1">
      <x:c r="A9" s="72" t="str">
        <x:v>Due, eligible predictions</x:v>
      </x:c>
      <x:c r="B9" s="74" t="n">
        <x:f>SUM(Ledger!AC6:AC505)</x:f>
        <x:v>0</x:v>
      </x:c>
      <x:c r="C9" s="62"/>
      <x:c r="D9" s="62"/>
      <x:c r="E9" s="62"/>
      <x:c r="F9" s="62"/>
      <x:c r="G9" s="62"/>
      <x:c r="H9" s="62"/>
    </x:row>
    <x:row r="10" ht="28" customHeight="1">
      <x:c r="A10" s="62"/>
      <x:c r="B10" s="62"/>
      <x:c r="C10" s="62"/>
      <x:c r="D10" s="62"/>
      <x:c r="E10" s="62"/>
      <x:c r="F10" s="62"/>
      <x:c r="G10" s="62"/>
      <x:c r="H10" s="62"/>
    </x:row>
    <x:row r="11" ht="58" customHeight="1">
      <x:c r="A11" s="74" t="str">
        <x:v>What was preserved</x:v>
      </x:c>
      <x:c r="B11" s="72" t="str">
        <x:v>Three earlier reports are included verbatim in the ZIP. Legacy import keeps 93 table rows: 88 candidates and five aggregates. Duplicates remain visible.</x:v>
      </x:c>
      <x:c r="C11" s="62"/>
      <x:c r="D11" s="62"/>
      <x:c r="E11" s="62"/>
      <x:c r="F11" s="62"/>
      <x:c r="G11" s="62"/>
      <x:c r="H11" s="62"/>
    </x:row>
    <x:row r="12" ht="58" customHeight="1">
      <x:c r="A12" s="76" t="str">
        <x:v>How to use</x:v>
      </x:c>
      <x:c r="B12" s="62" t="str">
        <x:v>Read Scorecard for the compact view. Edit Ledger for source checks, criteria and judgments. Compare results in By category only after verification and deduplication.</x:v>
      </x:c>
      <x:c r="C12" s="62"/>
      <x:c r="D12" s="62"/>
      <x:c r="E12" s="62"/>
      <x:c r="F12" s="62"/>
      <x:c r="G12" s="62"/>
      <x:c r="H12" s="62"/>
    </x:row>
    <x:row r="13" ht="58" customHeight="1">
      <x:c r="A13" s="74" t="str">
        <x:v>Two outcome fields</x:v>
      </x:c>
      <x:c r="B13" s="72" t="str">
        <x:v>The original deadline verdict and current realization are independent. A late success remains an on-time failure; a future unmet prediction is not prematurely wrong.</x:v>
      </x:c>
      <x:c r="C13" s="62"/>
      <x:c r="D13" s="62"/>
      <x:c r="E13" s="62"/>
      <x:c r="F13" s="62"/>
      <x:c r="G13" s="62"/>
      <x:c r="H13" s="62"/>
    </x:row>
    <x:row r="14" ht="58" customHeight="1">
      <x:c r="A14" s="76" t="str">
        <x:v>No false partial credit</x:v>
      </x:c>
      <x:c r="B14" s="62" t="str">
        <x:v>A product exists does not establish most people use it. A low-cost technology does not establish an adoption or quantity forecast. Score the full stated condition.</x:v>
      </x:c>
      <x:c r="C14" s="62"/>
      <x:c r="D14" s="62"/>
      <x:c r="E14" s="62"/>
      <x:c r="F14" s="62"/>
      <x:c r="G14" s="62"/>
      <x:c r="H14" s="62"/>
    </x:row>
    <x:row r="15" ht="58" customHeight="1">
      <x:c r="A15" s="74" t="str">
        <x:v>No double counting</x:v>
      </x:c>
      <x:c r="B15" s="72" t="str">
        <x:v>Use one primary category, optional tags, parent IDs and family IDs. Repeated predictions are versions, not fresh votes. Show atom-level and family-level results separately.</x:v>
      </x:c>
      <x:c r="C15" s="62"/>
      <x:c r="D15" s="62"/>
      <x:c r="E15" s="62"/>
      <x:c r="F15" s="62"/>
      <x:c r="G15" s="62"/>
      <x:c r="H15" s="62"/>
    </x:row>
    <x:row r="16" ht="58" customHeight="1">
      <x:c r="A16" s="76" t="str">
        <x:v>How to expand</x:v>
      </x:c>
      <x:c r="B16" s="62" t="str">
        <x:v>Coverage names sources still to extract, including the author's 147-item 2009 retrospective corpus. 147 is not a lifetime total, and those entries have not been newly extracted here.</x:v>
      </x:c>
      <x:c r="C16" s="62"/>
      <x:c r="D16" s="62"/>
      <x:c r="E16" s="62"/>
      <x:c r="F16" s="62"/>
      <x:c r="G16" s="62"/>
      <x:c r="H16" s="62"/>
    </x:row>
    <x:row r="17" ht="58" customHeight="1">
      <x:c r="A17" s="74" t="str">
        <x:v>Snapshot and formulas</x:v>
      </x:c>
      <x:c r="B17" s="72" t="str">
        <x:v>2026-10-13 snapshot. Whole-year deadlines in 2026 are still open; this workbook's mature cohort ends in 2025. Blank 2026 scores are intentional, not errors.</x:v>
      </x:c>
      <x:c r="C17" s="62"/>
      <x:c r="D17" s="62"/>
      <x:c r="E17" s="62"/>
      <x:c r="F17" s="62"/>
      <x:c r="G17" s="62"/>
      <x:c r="H17" s="62"/>
    </x:row>
    <x:row r="18" ht="58" customHeight="1">
      <x:c r="A18" s="76" t="str">
        <x:v>Release gate</x:v>
      </x:c>
      <x:c r="B18" s="62" t="str">
        <x:v>Only set Review state to VERIFIED after checking original wording, deadline, objective criteria, independent outcome evidence, and consistency of both outcome fields.</x:v>
      </x:c>
      <x:c r="C18" s="62"/>
      <x:c r="D18" s="62"/>
      <x:c r="E18" s="62"/>
      <x:c r="F18" s="62"/>
      <x:c r="G18" s="62"/>
      <x:c r="H18" s="62"/>
    </x:row>
    <x:row r="19" ht="58" customHeight="1">
      <x:c r="A19" s="74" t="str">
        <x:v>Before publishing results</x:v>
      </x:c>
      <x:c r="B19" s="72" t="str">
        <x:v>Complete source coverage, deduplication and exclusions. Add family-weighted sensitivity, date-range handling and dispute notes. The category sheet is a preliminary unweighted canonical-row view.</x:v>
      </x:c>
      <x:c r="C19" s="62"/>
      <x:c r="D19" s="62"/>
      <x:c r="E19" s="62"/>
      <x:c r="F19" s="62"/>
      <x:c r="G19" s="62"/>
      <x:c r="H19" s="62"/>
    </x:row>
    <x:row r="20" ht="28" customHeight="1">
      <x:c r="A20" s="62"/>
      <x:c r="B20" s="62"/>
      <x:c r="C20" s="62"/>
      <x:c r="D20" s="62"/>
      <x:c r="E20" s="62"/>
      <x:c r="F20" s="62"/>
      <x:c r="G20" s="62"/>
      <x:c r="H20" s="62"/>
    </x:row>
    <x:row r="21" ht="28" customHeight="1">
      <x:c r="A21" s="62"/>
      <x:c r="B21" s="62"/>
      <x:c r="C21" s="62"/>
      <x:c r="D21" s="62"/>
      <x:c r="E21" s="62"/>
      <x:c r="F21" s="62"/>
      <x:c r="G21" s="62"/>
      <x:c r="H21" s="62"/>
    </x:row>
    <x:row r="22" ht="28" customHeight="1">
      <x:c r="A22" s="62"/>
      <x:c r="B22" s="62"/>
      <x:c r="C22" s="62"/>
      <x:c r="D22" s="62"/>
      <x:c r="E22" s="62"/>
      <x:c r="F22" s="62"/>
      <x:c r="G22" s="62"/>
      <x:c r="H22" s="62"/>
    </x:row>
    <x:row r="23" ht="28" customHeight="1">
      <x:c r="A23" s="62"/>
      <x:c r="B23" s="62"/>
      <x:c r="C23" s="62"/>
      <x:c r="D23" s="62"/>
      <x:c r="E23" s="62"/>
      <x:c r="F23" s="62"/>
      <x:c r="G23" s="62"/>
      <x:c r="H23" s="62"/>
    </x:row>
    <x:row r="24" ht="28" customHeight="1">
      <x:c r="A24" s="62"/>
      <x:c r="B24" s="62"/>
      <x:c r="C24" s="62"/>
      <x:c r="D24" s="62"/>
      <x:c r="E24" s="62"/>
      <x:c r="F24" s="62"/>
      <x:c r="G24" s="62"/>
      <x:c r="H24" s="62"/>
    </x:row>
    <x:row r="25" ht="28" customHeight="1">
      <x:c r="A25" s="62"/>
      <x:c r="B25" s="62"/>
      <x:c r="C25" s="62"/>
      <x:c r="D25" s="62"/>
      <x:c r="E25" s="62"/>
      <x:c r="F25" s="62"/>
      <x:c r="G25" s="62"/>
      <x:c r="H25" s="62"/>
    </x:row>
    <x:row r="26" ht="28" customHeight="1">
      <x:c r="A26" s="62"/>
      <x:c r="B26" s="62"/>
      <x:c r="C26" s="62"/>
      <x:c r="D26" s="62"/>
      <x:c r="E26" s="62"/>
      <x:c r="F26" s="62"/>
      <x:c r="G26" s="62"/>
      <x:c r="H26" s="62"/>
    </x:row>
    <x:row r="27" ht="28" customHeight="1">
      <x:c r="A27" s="62"/>
      <x:c r="B27" s="62"/>
      <x:c r="C27" s="62"/>
      <x:c r="D27" s="62"/>
      <x:c r="E27" s="62"/>
      <x:c r="F27" s="62"/>
      <x:c r="G27" s="62"/>
      <x:c r="H27" s="62"/>
    </x:row>
    <x:row r="28" ht="28" customHeight="1">
      <x:c r="A28" s="62"/>
      <x:c r="B28" s="62"/>
      <x:c r="C28" s="62"/>
      <x:c r="D28" s="62"/>
      <x:c r="E28" s="62"/>
      <x:c r="F28" s="62"/>
      <x:c r="G28" s="62"/>
      <x:c r="H28" s="62"/>
    </x:row>
    <x:row r="29" ht="28" customHeight="1">
      <x:c r="A29" s="62"/>
      <x:c r="B29" s="62"/>
      <x:c r="C29" s="62"/>
      <x:c r="D29" s="62"/>
      <x:c r="E29" s="62"/>
      <x:c r="F29" s="62"/>
      <x:c r="G29" s="62"/>
      <x:c r="H29" s="62"/>
    </x:row>
    <x:row r="30" ht="28" customHeight="1">
      <x:c r="A30" s="62"/>
      <x:c r="B30" s="62"/>
      <x:c r="C30" s="62"/>
      <x:c r="D30" s="62"/>
      <x:c r="E30" s="62"/>
      <x:c r="F30" s="62"/>
      <x:c r="G30" s="62"/>
      <x:c r="H30" s="62"/>
    </x:row>
    <x:row r="31" ht="28" customHeight="1">
      <x:c r="A31" s="62"/>
      <x:c r="B31" s="62"/>
      <x:c r="C31" s="62"/>
      <x:c r="D31" s="62"/>
      <x:c r="E31" s="62"/>
      <x:c r="F31" s="62"/>
      <x:c r="G31" s="62"/>
      <x:c r="H31" s="62"/>
    </x:row>
    <x:row r="32" ht="28" customHeight="1">
      <x:c r="A32" s="62"/>
      <x:c r="B32" s="62"/>
      <x:c r="C32" s="62"/>
      <x:c r="D32" s="62"/>
      <x:c r="E32" s="62"/>
      <x:c r="F32" s="62"/>
      <x:c r="G32" s="62"/>
      <x:c r="H32" s="62"/>
    </x:row>
    <x:row r="33" ht="28" customHeight="1">
      <x:c r="A33" s="62"/>
      <x:c r="B33" s="62"/>
      <x:c r="C33" s="62"/>
      <x:c r="D33" s="62"/>
      <x:c r="E33" s="62"/>
      <x:c r="F33" s="62"/>
      <x:c r="G33" s="62"/>
      <x:c r="H33" s="62"/>
    </x:row>
    <x:row r="34" ht="28" customHeight="1">
      <x:c r="A34" s="62"/>
      <x:c r="B34" s="62"/>
      <x:c r="C34" s="62"/>
      <x:c r="D34" s="62"/>
      <x:c r="E34" s="62"/>
      <x:c r="F34" s="62"/>
      <x:c r="G34" s="62"/>
      <x:c r="H34" s="62"/>
    </x:row>
    <x:row r="35" ht="28" customHeight="1">
      <x:c r="A35" s="62"/>
      <x:c r="B35" s="62"/>
      <x:c r="C35" s="62"/>
      <x:c r="D35" s="62"/>
      <x:c r="E35" s="62"/>
      <x:c r="F35" s="62"/>
      <x:c r="G35" s="62"/>
      <x:c r="H35" s="6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40" hidden="0" customWidth="1"/>
    <x:col min="3" max="3" width="28" hidden="0" customWidth="1"/>
    <x:col min="4" max="4" width="23" hidden="0" customWidth="1"/>
    <x:col min="5" max="5" width="20" hidden="0" customWidth="1"/>
    <x:col min="6" max="6" width="40" hidden="0" customWidth="1"/>
    <x:col min="7" max="7" width="14" hidden="0" customWidth="1"/>
    <x:col min="8" max="8" width="14" hidden="0" customWidth="1"/>
  </x:cols>
  <x:sheetData>
    <x:row r="1" ht="32" customHeight="1">
      <x:c r="A1" s="58" t="str">
        <x:v>SCORECARD</x:v>
      </x:c>
      <x:c r="B1" s="7"/>
      <x:c r="C1" s="7"/>
      <x:c r="D1" s="7"/>
      <x:c r="E1" s="7"/>
      <x:c r="F1" s="7"/>
      <x:c r="G1" s="7"/>
      <x:c r="H1" s="7"/>
    </x:row>
    <x:row r="2">
      <x:c r="A2" s="4"/>
      <x:c r="B2" s="4"/>
      <x:c r="C2" s="4"/>
      <x:c r="D2" s="4"/>
      <x:c r="E2" s="4"/>
      <x:c r="F2" s="4"/>
      <x:c r="G2" s="4"/>
      <x:c r="H2" s="4"/>
    </x:row>
    <x:row r="3" ht="32" customHeight="1">
      <x:c r="A3" s="60" t="str">
        <x:v>WORKING INTAKE — not a completed audit. Original ratings remain in Legacy import; no scores are silently carried forward.</x:v>
      </x:c>
      <x:c r="B3" s="25"/>
      <x:c r="C3" s="25"/>
      <x:c r="D3" s="25"/>
      <x:c r="E3" s="25"/>
      <x:c r="F3" s="25"/>
      <x:c r="G3" s="25"/>
      <x:c r="H3" s="25"/>
    </x:row>
    <x:row r="4">
      <x:c r="A4" s="4"/>
      <x:c r="B4" s="4"/>
      <x:c r="C4" s="4"/>
      <x:c r="D4" s="4"/>
      <x:c r="E4" s="4"/>
      <x:c r="F4" s="4"/>
      <x:c r="G4" s="4"/>
      <x:c r="H4" s="4"/>
    </x:row>
    <x:row r="5" ht="32" customHeight="1">
      <x:c r="A5" s="12" t="str">
        <x:v>ID</x:v>
      </x:c>
      <x:c r="B5" s="12" t="str">
        <x:v>Prediction</x:v>
      </x:c>
      <x:c r="C5" s="12" t="str">
        <x:v>Category</x:v>
      </x:c>
      <x:c r="D5" s="12" t="str">
        <x:v>Target — unverified</x:v>
      </x:c>
      <x:c r="E5" s="12" t="str">
        <x:v>Status</x:v>
      </x:c>
      <x:c r="F5" s="12" t="str">
        <x:v>Outcome / audit note</x:v>
      </x:c>
      <x:c r="G5" s="12" t="str">
        <x:v>Year drift</x:v>
      </x:c>
      <x:c r="H5" s="12" t="str">
        <x:v>Years overdue</x:v>
      </x:c>
    </x:row>
    <x:row r="6" ht="78" customHeight="1">
      <x:c r="A6" s="17" t="str">
        <x:f>Ledger!A6</x:f>
        <x:v>AUD-001</x:v>
      </x:c>
      <x:c r="B6" s="17" t="str">
        <x:f>Ledger!B6</x:f>
        <x:v>Computer will defeat world chess champion by 1998.</x:v>
      </x:c>
      <x:c r="C6" s="17" t="str">
        <x:f>Ledger!C6</x:f>
        <x:v>AI &amp; software</x:v>
      </x:c>
      <x:c r="D6" s="17" t="str">
        <x:f>Ledger!G6</x:f>
        <x:v>1998</x:v>
      </x:c>
      <x:c r="E6" s="17" t="str">
        <x:f>Ledger!Z6</x:f>
        <x:v>UNREVIEWED</x:v>
      </x:c>
      <x:c r="F6" s="17" t="str">
        <x:v>Legacy quote says 2000 but normalized deadline says 1998; resolve against the original edition.</x:v>
      </x:c>
      <x:c r="G6" s="17" t="str">
        <x:f>IF(Ledger!AA6="","",Ledger!AA6)</x:f>
      </x:c>
      <x:c r="H6" s="17" t="str">
        <x:f>IF(Ledger!AB6="","",Ledger!AB6)</x:f>
      </x:c>
    </x:row>
    <x:row r="7" ht="78" customHeight="1">
      <x:c r="A7" s="17" t="str">
        <x:f>Ledger!A7</x:f>
        <x:v>AUD-002</x:v>
      </x:c>
      <x:c r="B7" s="17" t="str">
        <x:f>Ledger!B7</x:f>
        <x:v>Global Internet will connect everyone to information.</x:v>
      </x:c>
      <x:c r="C7" s="17" t="str">
        <x:f>Ledger!C7</x:f>
        <x:v>Networks &amp; communications</x:v>
      </x:c>
      <x:c r="D7" s="17" t="str">
        <x:f>Ledger!G7</x:f>
        <x:v>(unspecified)</x:v>
      </x:c>
      <x:c r="E7" s="17" t="str">
        <x:f>Ledger!Z7</x:f>
        <x:v>UNREVIEWED</x:v>
      </x:c>
      <x:c r="F7" s="17" t="str">
        <x:v>Source, deadline and outcome require review. See Ledger.</x:v>
      </x:c>
      <x:c r="G7" s="17" t="str">
        <x:f>IF(Ledger!AA7="","",Ledger!AA7)</x:f>
      </x:c>
      <x:c r="H7" s="17" t="str">
        <x:f>IF(Ledger!AB7="","",Ledger!AB7)</x:f>
      </x:c>
    </x:row>
    <x:row r="8" ht="78" customHeight="1">
      <x:c r="A8" s="17" t="str">
        <x:f>Ledger!A8</x:f>
        <x:v>AUD-003</x:v>
      </x:c>
      <x:c r="B8" s="17" t="str">
        <x:f>Ledger!B8</x:f>
        <x:v>Communication tech will democratize society and contribute to the USSR’s collapse.</x:v>
      </x:c>
      <x:c r="C8" s="17" t="str">
        <x:f>Ledger!C8</x:f>
        <x:v>Economy &amp; society</x:v>
      </x:c>
      <x:c r="D8" s="17" t="str">
        <x:f>Ledger!G8</x:f>
        <x:v>~1990s</x:v>
      </x:c>
      <x:c r="E8" s="17" t="str">
        <x:f>Ledger!Z8</x:f>
        <x:v>UNREVIEWED</x:v>
      </x:c>
      <x:c r="F8" s="17" t="str">
        <x:v>Source, deadline and outcome require review. See Ledger.</x:v>
      </x:c>
      <x:c r="G8" s="17" t="str">
        <x:f>IF(Ledger!AA8="","",Ledger!AA8)</x:f>
      </x:c>
      <x:c r="H8" s="17" t="str">
        <x:f>IF(Ledger!AB8="","",Ledger!AB8)</x:f>
      </x:c>
    </x:row>
    <x:row r="9" ht="78" customHeight="1">
      <x:c r="A9" s="17" t="str">
        <x:f>Ledger!A9</x:f>
        <x:v>AUD-004</x:v>
      </x:c>
      <x:c r="B9" s="17" t="str">
        <x:f>Ledger!B9</x:f>
        <x:v>Portable computers will be much lighter/thinner by ~2010.</x:v>
      </x:c>
      <x:c r="C9" s="17" t="str">
        <x:f>Ledger!C9</x:f>
        <x:v>Computing hardware</x:v>
      </x:c>
      <x:c r="D9" s="17" t="str">
        <x:f>Ledger!G9</x:f>
        <x:v>2009</x:v>
      </x:c>
      <x:c r="E9" s="17" t="str">
        <x:f>Ledger!Z9</x:f>
        <x:v>UNREVIEWED</x:v>
      </x:c>
      <x:c r="F9" s="17" t="str">
        <x:v>Source, deadline and outcome require review. See Ledger.</x:v>
      </x:c>
      <x:c r="G9" s="17" t="str">
        <x:f>IF(Ledger!AA9="","",Ledger!AA9)</x:f>
      </x:c>
      <x:c r="H9" s="17" t="str">
        <x:f>IF(Ledger!AB9="","",Ledger!AB9)</x:f>
      </x:c>
    </x:row>
    <x:row r="10" ht="78" customHeight="1">
      <x:c r="A10" s="17" t="str">
        <x:f>Ledger!A10</x:f>
        <x:v>AUD-005</x:v>
      </x:c>
      <x:c r="B10" s="17" t="str">
        <x:f>Ledger!B10</x:f>
        <x:v>Computers will be embedded in clothing and personal accessories by 2010.</x:v>
      </x:c>
      <x:c r="C10" s="17" t="str">
        <x:f>Ledger!C10</x:f>
        <x:v>Computing hardware</x:v>
      </x:c>
      <x:c r="D10" s="17" t="str">
        <x:f>Ledger!G10</x:f>
        <x:v>2009</x:v>
      </x:c>
      <x:c r="E10" s="17" t="str">
        <x:f>Ledger!Z10</x:f>
        <x:v>UNREVIEWED</x:v>
      </x:c>
      <x:c r="F10" s="17" t="str">
        <x:v>Source, deadline and outcome require review. See Ledger.</x:v>
      </x:c>
      <x:c r="G10" s="17" t="str">
        <x:f>IF(Ledger!AA10="","",Ledger!AA10)</x:f>
      </x:c>
      <x:c r="H10" s="17" t="str">
        <x:f>IF(Ledger!AB10="","",Ledger!AB10)</x:f>
      </x:c>
    </x:row>
    <x:row r="11" ht="78" customHeight="1">
      <x:c r="A11" s="17" t="str">
        <x:f>Ledger!A11</x:f>
        <x:v>AUD-006</x:v>
      </x:c>
      <x:c r="B11" s="17" t="str">
        <x:f>Ledger!B11</x:f>
        <x:v>People will carry many networked devices (body LANs) by 2009.</x:v>
      </x:c>
      <x:c r="C11" s="17" t="str">
        <x:f>Ledger!C11</x:f>
        <x:v>Computing hardware</x:v>
      </x:c>
      <x:c r="D11" s="17" t="str">
        <x:f>Ledger!G11</x:f>
        <x:v>2009</x:v>
      </x:c>
      <x:c r="E11" s="17" t="str">
        <x:f>Ledger!Z11</x:f>
        <x:v>UNREVIEWED</x:v>
      </x:c>
      <x:c r="F11" s="17" t="str">
        <x:v>Source, deadline and outcome require review. See Ledger.</x:v>
      </x:c>
      <x:c r="G11" s="17" t="str">
        <x:f>IF(Ledger!AA11="","",Ledger!AA11)</x:f>
      </x:c>
      <x:c r="H11" s="17" t="str">
        <x:f>IF(Ledger!AB11="","",Ledger!AB11)</x:f>
      </x:c>
    </x:row>
    <x:row r="12" ht="78" customHeight="1">
      <x:c r="A12" s="17" t="str">
        <x:f>Ledger!A12</x:f>
        <x:v>AUD-007</x:v>
      </x:c>
      <x:c r="B12" s="17" t="str">
        <x:f>Ledger!B12</x:f>
        <x:v>Personal devices will be solid-state (no moving parts) by 2009.</x:v>
      </x:c>
      <x:c r="C12" s="17" t="str">
        <x:f>Ledger!C12</x:f>
        <x:v>Computing hardware</x:v>
      </x:c>
      <x:c r="D12" s="17" t="str">
        <x:f>Ledger!G12</x:f>
        <x:v>2009</x:v>
      </x:c>
      <x:c r="E12" s="17" t="str">
        <x:f>Ledger!Z12</x:f>
        <x:v>UNREVIEWED</x:v>
      </x:c>
      <x:c r="F12" s="17" t="str">
        <x:v>Source, deadline and outcome require review. See Ledger.</x:v>
      </x:c>
      <x:c r="G12" s="17" t="str">
        <x:f>IF(Ledger!AA12="","",Ledger!AA12)</x:f>
      </x:c>
      <x:c r="H12" s="17" t="str">
        <x:f>IF(Ledger!AB12="","",Ledger!AB12)</x:f>
      </x:c>
    </x:row>
    <x:row r="13" ht="78" customHeight="1">
      <x:c r="A13" s="17" t="str">
        <x:f>Ledger!A13</x:f>
        <x:v>AUD-008</x:v>
      </x:c>
      <x:c r="B13" s="17" t="str">
        <x:f>Ledger!B13</x:f>
        <x:v>Most mobile computing will be by touch/voice, not keyboards, by 2010.</x:v>
      </x:c>
      <x:c r="C13" s="17" t="str">
        <x:f>Ledger!C13</x:f>
        <x:v>Computing hardware</x:v>
      </x:c>
      <x:c r="D13" s="17" t="str">
        <x:f>Ledger!G13</x:f>
        <x:v>2009</x:v>
      </x:c>
      <x:c r="E13" s="17" t="str">
        <x:f>Ledger!Z13</x:f>
        <x:v>UNREVIEWED</x:v>
      </x:c>
      <x:c r="F13" s="17" t="str">
        <x:v>Legacy on-time/achieved label may conflict with its positive drift.</x:v>
      </x:c>
      <x:c r="G13" s="17" t="str">
        <x:f>IF(Ledger!AA13="","",Ledger!AA13)</x:f>
      </x:c>
      <x:c r="H13" s="17" t="str">
        <x:f>IF(Ledger!AB13="","",Ledger!AB13)</x:f>
      </x:c>
    </x:row>
    <x:row r="14" ht="78" customHeight="1">
      <x:c r="A14" s="17" t="str">
        <x:f>Ledger!A14</x:f>
        <x:v>AUD-009</x:v>
      </x:c>
      <x:c r="B14" s="17" t="str">
        <x:f>Ledger!B14</x:f>
        <x:v>Most people will store data (music, video, docs) on their own servers by 2010.</x:v>
      </x:c>
      <x:c r="C14" s="17" t="str">
        <x:f>Ledger!C14</x:f>
        <x:v>Networks &amp; communications</x:v>
      </x:c>
      <x:c r="D14" s="17" t="str">
        <x:f>Ledger!G14</x:f>
        <x:v>2009</x:v>
      </x:c>
      <x:c r="E14" s="17" t="str">
        <x:f>Ledger!Z14</x:f>
        <x:v>UNREVIEWED</x:v>
      </x:c>
      <x:c r="F14" s="17" t="str">
        <x:v>Source, deadline and outcome require review. See Ledger.</x:v>
      </x:c>
      <x:c r="G14" s="17" t="str">
        <x:f>IF(Ledger!AA14="","",Ledger!AA14)</x:f>
      </x:c>
      <x:c r="H14" s="17" t="str">
        <x:f>IF(Ledger!AB14="","",Ledger!AB14)</x:f>
      </x:c>
    </x:row>
    <x:row r="15" ht="78" customHeight="1">
      <x:c r="A15" s="17" t="str">
        <x:f>Ledger!A15</x:f>
        <x:v>AUD-010</x:v>
      </x:c>
      <x:c r="B15" s="17" t="str">
        <x:f>Ledger!B15</x:f>
        <x:v>Media (music, books, movies) will be distributed mostly digitally by 2010.</x:v>
      </x:c>
      <x:c r="C15" s="17" t="str">
        <x:f>Ledger!C15</x:f>
        <x:v>Media, education &amp; culture</x:v>
      </x:c>
      <x:c r="D15" s="17" t="str">
        <x:f>Ledger!G15</x:f>
        <x:v>2009</x:v>
      </x:c>
      <x:c r="E15" s="17" t="str">
        <x:f>Ledger!Z15</x:f>
        <x:v>UNREVIEWED</x:v>
      </x:c>
      <x:c r="F15" s="17" t="str">
        <x:v>Source, deadline and outcome require review. See Ledger.</x:v>
      </x:c>
      <x:c r="G15" s="17" t="str">
        <x:f>IF(Ledger!AA15="","",Ledger!AA15)</x:f>
      </x:c>
      <x:c r="H15" s="17" t="str">
        <x:f>IF(Ledger!AB15="","",Ledger!AB15)</x:f>
      </x:c>
    </x:row>
    <x:row r="16" ht="78" customHeight="1">
      <x:c r="A16" s="17" t="str">
        <x:f>Ledger!A16</x:f>
        <x:v>AUD-011</x:v>
      </x:c>
      <x:c r="B16" s="17" t="str">
        <x:f>Ledger!B16</x:f>
        <x:v>Wired cables will vanish in favor of short-range wireless by 2010.</x:v>
      </x:c>
      <x:c r="C16" s="17" t="str">
        <x:f>Ledger!C16</x:f>
        <x:v>Computing hardware</x:v>
      </x:c>
      <x:c r="D16" s="17" t="str">
        <x:f>Ledger!G16</x:f>
        <x:v>2009</x:v>
      </x:c>
      <x:c r="E16" s="17" t="str">
        <x:f>Ledger!Z16</x:f>
        <x:v>UNREVIEWED</x:v>
      </x:c>
      <x:c r="F16" s="17" t="str">
        <x:v>Source, deadline and outcome require review. See Ledger.</x:v>
      </x:c>
      <x:c r="G16" s="17" t="str">
        <x:f>IF(Ledger!AA16="","",Ledger!AA16)</x:f>
      </x:c>
      <x:c r="H16" s="17" t="str">
        <x:f>IF(Ledger!AB16="","",Ledger!AB16)</x:f>
      </x:c>
    </x:row>
    <x:row r="17" ht="78" customHeight="1">
      <x:c r="A17" s="17" t="str">
        <x:f>Ledger!A17</x:f>
        <x:v>AUD-012</x:v>
      </x:c>
      <x:c r="B17" s="17" t="str">
        <x:f>Ledger!B17</x:f>
        <x:v>High-speed wireless networking will be ubiquitous by 2010.</x:v>
      </x:c>
      <x:c r="C17" s="17" t="str">
        <x:f>Ledger!C17</x:f>
        <x:v>Networks &amp; communications</x:v>
      </x:c>
      <x:c r="D17" s="17" t="str">
        <x:f>Ledger!G17</x:f>
        <x:v>2009</x:v>
      </x:c>
      <x:c r="E17" s="17" t="str">
        <x:f>Ledger!Z17</x:f>
        <x:v>UNREVIEWED</x:v>
      </x:c>
      <x:c r="F17" s="17" t="str">
        <x:v>Source, deadline and outcome require review. See Ledger.</x:v>
      </x:c>
      <x:c r="G17" s="17" t="str">
        <x:f>IF(Ledger!AA17="","",Ledger!AA17)</x:f>
      </x:c>
      <x:c r="H17" s="17" t="str">
        <x:f>IF(Ledger!AB17="","",Ledger!AB17)</x:f>
      </x:c>
    </x:row>
    <x:row r="18" ht="78" customHeight="1">
      <x:c r="A18" s="17" t="str">
        <x:f>Ledger!A18</x:f>
        <x:v>AUD-013</x:v>
      </x:c>
      <x:c r="B18" s="17" t="str">
        <x:f>Ledger!B18</x:f>
        <x:v>Most text will be created via dictation by 2010.</x:v>
      </x:c>
      <x:c r="C18" s="17" t="str">
        <x:f>Ledger!C18</x:f>
        <x:v>AI &amp; software</x:v>
      </x:c>
      <x:c r="D18" s="17" t="str">
        <x:f>Ledger!G18</x:f>
        <x:v>2009</x:v>
      </x:c>
      <x:c r="E18" s="17" t="str">
        <x:f>Ledger!Z18</x:f>
        <x:v>UNREVIEWED</x:v>
      </x:c>
      <x:c r="F18" s="17" t="str">
        <x:v>Source, deadline and outcome require review. See Ledger.</x:v>
      </x:c>
      <x:c r="G18" s="17" t="str">
        <x:f>IF(Ledger!AA18="","",Ledger!AA18)</x:f>
      </x:c>
      <x:c r="H18" s="17" t="str">
        <x:f>IF(Ledger!AB18="","",Ledger!AB18)</x:f>
      </x:c>
    </x:row>
    <x:row r="19" ht="78" customHeight="1">
      <x:c r="A19" s="17" t="str">
        <x:f>Ledger!A19</x:f>
        <x:v>AUD-014</x:v>
      </x:c>
      <x:c r="B19" s="17" t="str">
        <x:f>Ledger!B19</x:f>
        <x:v>Voice-based assistants will handle routine tasks by 2010.</x:v>
      </x:c>
      <x:c r="C19" s="17" t="str">
        <x:f>Ledger!C19</x:f>
        <x:v>AI &amp; software</x:v>
      </x:c>
      <x:c r="D19" s="17" t="str">
        <x:f>Ledger!G19</x:f>
        <x:v>2009</x:v>
      </x:c>
      <x:c r="E19" s="17" t="str">
        <x:f>Ledger!Z19</x:f>
        <x:v>UNREVIEWED</x:v>
      </x:c>
      <x:c r="F19" s="17" t="str">
        <x:v>Source, deadline and outcome require review. See Ledger.</x:v>
      </x:c>
      <x:c r="G19" s="17" t="str">
        <x:f>IF(Ledger!AA19="","",Ledger!AA19)</x:f>
      </x:c>
      <x:c r="H19" s="17" t="str">
        <x:f>IF(Ledger!AB19="","",Ledger!AB19)</x:f>
      </x:c>
    </x:row>
    <x:row r="20" ht="78" customHeight="1">
      <x:c r="A20" s="17" t="str">
        <x:f>Ledger!A20</x:f>
        <x:v>AUD-015</x:v>
      </x:c>
      <x:c r="B20" s="17" t="str">
        <x:f>Ledger!B20</x:f>
        <x:v>Paper will be largely replaced by high-quality digital displays by 2010.</x:v>
      </x:c>
      <x:c r="C20" s="17" t="str">
        <x:f>Ledger!C20</x:f>
        <x:v>Media, education &amp; culture</x:v>
      </x:c>
      <x:c r="D20" s="17" t="str">
        <x:f>Ledger!G20</x:f>
        <x:v>2009</x:v>
      </x:c>
      <x:c r="E20" s="17" t="str">
        <x:f>Ledger!Z20</x:f>
        <x:v>UNREVIEWED</x:v>
      </x:c>
      <x:c r="F20" s="17" t="str">
        <x:v>Source, deadline and outcome require review. See Ledger.</x:v>
      </x:c>
      <x:c r="G20" s="17" t="str">
        <x:f>IF(Ledger!AA20="","",Ledger!AA20)</x:f>
      </x:c>
      <x:c r="H20" s="17" t="str">
        <x:f>IF(Ledger!AB20="","",Ledger!AB20)</x:f>
      </x:c>
    </x:row>
    <x:row r="21" ht="78" customHeight="1">
      <x:c r="A21" s="17" t="str">
        <x:f>Ledger!A21</x:f>
        <x:v>AUD-016</x:v>
      </x:c>
      <x:c r="B21" s="17" t="str">
        <x:f>Ledger!B21</x:f>
        <x:v>Augmented-reality displays (e.g. smart glasses) will exist by 2015.</x:v>
      </x:c>
      <x:c r="C21" s="17" t="str">
        <x:f>Ledger!C21</x:f>
        <x:v>Interfaces &amp; virtual worlds</x:v>
      </x:c>
      <x:c r="D21" s="17" t="str">
        <x:f>Ledger!G21</x:f>
        <x:v>2010</x:v>
      </x:c>
      <x:c r="E21" s="17" t="str">
        <x:f>Ledger!Z21</x:f>
        <x:v>UNREVIEWED</x:v>
      </x:c>
      <x:c r="F21" s="17" t="str">
        <x:v>Source, deadline and outcome require review. See Ledger.</x:v>
      </x:c>
      <x:c r="G21" s="17" t="str">
        <x:f>IF(Ledger!AA21="","",Ledger!AA21)</x:f>
      </x:c>
      <x:c r="H21" s="17" t="str">
        <x:f>IF(Ledger!AB21="","",Ledger!AB21)</x:f>
      </x:c>
    </x:row>
    <x:row r="22" ht="78" customHeight="1">
      <x:c r="A22" s="17" t="str">
        <x:f>Ledger!A22</x:f>
        <x:v>AUD-017</x:v>
      </x:c>
      <x:c r="B22" s="17" t="str">
        <x:f>Ledger!B22</x:f>
        <x:v>Wearable projectors will create 3D spatial audio by 2010.</x:v>
      </x:c>
      <x:c r="C22" s="17" t="str">
        <x:f>Ledger!C22</x:f>
        <x:v>Interfaces &amp; virtual worlds</x:v>
      </x:c>
      <x:c r="D22" s="17" t="str">
        <x:f>Ledger!G22</x:f>
        <x:v>2010</x:v>
      </x:c>
      <x:c r="E22" s="17" t="str">
        <x:f>Ledger!Z22</x:f>
        <x:v>UNREVIEWED</x:v>
      </x:c>
      <x:c r="F22" s="17" t="str">
        <x:v>Source, deadline and outcome require review. See Ledger.</x:v>
      </x:c>
      <x:c r="G22" s="17" t="str">
        <x:f>IF(Ledger!AA22="","",Ledger!AA22)</x:f>
      </x:c>
      <x:c r="H22" s="17" t="str">
        <x:f>IF(Ledger!AB22="","",Ledger!AB22)</x:f>
      </x:c>
    </x:row>
    <x:row r="23" ht="78" customHeight="1">
      <x:c r="A23" s="17" t="str">
        <x:f>Ledger!A23</x:f>
        <x:v>AUD-018</x:v>
      </x:c>
      <x:c r="B23" s="17" t="str">
        <x:f>Ledger!B23</x:f>
        <x:v>Full VR systems (high-res, immersion) will be available by 2010.</x:v>
      </x:c>
      <x:c r="C23" s="17" t="str">
        <x:f>Ledger!C23</x:f>
        <x:v>Interfaces &amp; virtual worlds</x:v>
      </x:c>
      <x:c r="D23" s="17" t="str">
        <x:f>Ledger!G23</x:f>
        <x:v>2010</x:v>
      </x:c>
      <x:c r="E23" s="17" t="str">
        <x:f>Ledger!Z23</x:f>
        <x:v>UNREVIEWED</x:v>
      </x:c>
      <x:c r="F23" s="17" t="str">
        <x:v>Source, deadline and outcome require review. See Ledger.</x:v>
      </x:c>
      <x:c r="G23" s="17" t="str">
        <x:f>IF(Ledger!AA23="","",Ledger!AA23)</x:f>
      </x:c>
      <x:c r="H23" s="17" t="str">
        <x:f>IF(Ledger!AB23="","",Ledger!AB23)</x:f>
      </x:c>
    </x:row>
    <x:row r="24" ht="78" customHeight="1">
      <x:c r="A24" s="17" t="str">
        <x:f>Ledger!A24</x:f>
        <x:v>AUD-019</x:v>
      </x:c>
      <x:c r="B24" s="17" t="str">
        <x:f>Ledger!B24</x:f>
        <x:v>Augmented reality overlays (e.g. AR apps) will be common by 2010.</x:v>
      </x:c>
      <x:c r="C24" s="17" t="str">
        <x:f>Ledger!C24</x:f>
        <x:v>Interfaces &amp; virtual worlds</x:v>
      </x:c>
      <x:c r="D24" s="17" t="str">
        <x:f>Ledger!G24</x:f>
        <x:v>2010</x:v>
      </x:c>
      <x:c r="E24" s="17" t="str">
        <x:f>Ledger!Z24</x:f>
        <x:v>UNREVIEWED</x:v>
      </x:c>
      <x:c r="F24" s="17" t="str">
        <x:v>Source, deadline and outcome require review. See Ledger.</x:v>
      </x:c>
      <x:c r="G24" s="17" t="str">
        <x:f>IF(Ledger!AA24="","",Ledger!AA24)</x:f>
      </x:c>
      <x:c r="H24" s="17" t="str">
        <x:f>IF(Ledger!AB24="","",Ledger!AB24)</x:f>
      </x:c>
    </x:row>
    <x:row r="25" ht="78" customHeight="1">
      <x:c r="A25" s="17" t="str">
        <x:f>Ledger!A25</x:f>
        <x:v>AUD-020</x:v>
      </x:c>
      <x:c r="B25" s="17" t="str">
        <x:f>Ledger!B25</x:f>
        <x:v>Warfare will be dominated by remote weapons/drones by 2010.</x:v>
      </x:c>
      <x:c r="C25" s="17" t="str">
        <x:f>Ledger!C25</x:f>
        <x:v>Security &amp; warfare</x:v>
      </x:c>
      <x:c r="D25" s="17" t="str">
        <x:f>Ledger!G25</x:f>
        <x:v>2009</x:v>
      </x:c>
      <x:c r="E25" s="17" t="str">
        <x:f>Ledger!Z25</x:f>
        <x:v>UNREVIEWED</x:v>
      </x:c>
      <x:c r="F25" s="17" t="str">
        <x:v>Do not equate existence/use of drones with dominant warfare or humans being far from battle.</x:v>
      </x:c>
      <x:c r="G25" s="17" t="str">
        <x:f>IF(Ledger!AA25="","",Ledger!AA25)</x:f>
      </x:c>
      <x:c r="H25" s="17" t="str">
        <x:f>IF(Ledger!AB25="","",Ledger!AB25)</x:f>
      </x:c>
    </x:row>
    <x:row r="26" ht="78" customHeight="1">
      <x:c r="A26" s="17" t="str">
        <x:f>Ledger!A26</x:f>
        <x:v>AUD-021</x:v>
      </x:c>
      <x:c r="B26" s="17" t="str">
        <x:f>Ledger!B26</x:f>
        <x:v>War will be carried out by autonomous drones by 2010.</x:v>
      </x:c>
      <x:c r="C26" s="17" t="str">
        <x:f>Ledger!C26</x:f>
        <x:v>Security &amp; warfare</x:v>
      </x:c>
      <x:c r="D26" s="17" t="str">
        <x:f>Ledger!G26</x:f>
        <x:v>2009</x:v>
      </x:c>
      <x:c r="E26" s="17" t="str">
        <x:f>Ledger!Z26</x:f>
        <x:v>UNREVIEWED</x:v>
      </x:c>
      <x:c r="F26" s="17" t="str">
        <x:v>Do not equate existence/use of drones with dominant warfare or humans being far from battle.</x:v>
      </x:c>
      <x:c r="G26" s="17" t="str">
        <x:f>IF(Ledger!AA26="","",Ledger!AA26)</x:f>
      </x:c>
      <x:c r="H26" s="17" t="str">
        <x:f>IF(Ledger!AB26="","",Ledger!AB26)</x:f>
      </x:c>
    </x:row>
    <x:row r="27" ht="78" customHeight="1">
      <x:c r="A27" s="17" t="str">
        <x:f>Ledger!A27</x:f>
        <x:v>AUD-022</x:v>
      </x:c>
      <x:c r="B27" s="17" t="str">
        <x:f>Ledger!B27</x:f>
        <x:v>Solar energy will meet global demand by ~2028.</x:v>
      </x:c>
      <x:c r="C27" s="17" t="str">
        <x:f>Ledger!C27</x:f>
        <x:v>Energy &amp; environment</x:v>
      </x:c>
      <x:c r="D27" s="17" t="str">
        <x:f>Ledger!G27</x:f>
        <x:v>2028</x:v>
      </x:c>
      <x:c r="E27" s="17" t="str">
        <x:f>Ledger!Z27</x:f>
        <x:v>UNREVIEWED</x:v>
      </x:c>
      <x:c r="F27" s="17" t="str">
        <x:v>Falling solar costs do not establish coverage of all energy demand.</x:v>
      </x:c>
      <x:c r="G27" s="17" t="str">
        <x:f>IF(Ledger!AA27="","",Ledger!AA27)</x:f>
      </x:c>
      <x:c r="H27" s="17" t="str">
        <x:f>IF(Ledger!AB27="","",Ledger!AB27)</x:f>
      </x:c>
    </x:row>
    <x:row r="28" ht="78" customHeight="1">
      <x:c r="A28" s="17" t="str">
        <x:f>Ledger!A28</x:f>
        <x:v>AUD-023</x:v>
      </x:c>
      <x:c r="B28" s="17" t="str">
        <x:f>Ledger!B28</x:f>
        <x:v>By ~2045 AI will exceed human intelligence (Singularity).</x:v>
      </x:c>
      <x:c r="C28" s="17" t="str">
        <x:f>Ledger!C28</x:f>
        <x:v>AI &amp; software</x:v>
      </x:c>
      <x:c r="D28" s="17" t="str">
        <x:f>Ledger!G28</x:f>
        <x:v>2045</x:v>
      </x:c>
      <x:c r="E28" s="17" t="str">
        <x:f>Ledger!Z28</x:f>
        <x:v>UNREVIEWED</x:v>
      </x:c>
      <x:c r="F28" s="17" t="str">
        <x:v>Source, deadline and outcome require review. See Ledger.</x:v>
      </x:c>
      <x:c r="G28" s="17" t="str">
        <x:f>IF(Ledger!AA28="","",Ledger!AA28)</x:f>
      </x:c>
      <x:c r="H28" s="17" t="str">
        <x:f>IF(Ledger!AB28="","",Ledger!AB28)</x:f>
      </x:c>
    </x:row>
    <x:row r="29" ht="78" customHeight="1">
      <x:c r="A29" s="17" t="str">
        <x:f>Ledger!A29</x:f>
        <x:v>AUD-024</x:v>
      </x:c>
      <x:c r="B29" s="17" t="str">
        <x:f>Ledger!B29</x:f>
        <x:v>A computer will pass an unrestricted Turing Test by 2029.</x:v>
      </x:c>
      <x:c r="C29" s="17" t="str">
        <x:f>Ledger!C29</x:f>
        <x:v>AI &amp; software</x:v>
      </x:c>
      <x:c r="D29" s="17" t="str">
        <x:f>Ledger!G29</x:f>
        <x:v>2029</x:v>
      </x:c>
      <x:c r="E29" s="17" t="str">
        <x:f>Ledger!Z29</x:f>
        <x:v>UNREVIEWED</x:v>
      </x:c>
      <x:c r="F29" s="17" t="str">
        <x:v>Source, deadline and outcome require review. See Ledger.</x:v>
      </x:c>
      <x:c r="G29" s="17" t="str">
        <x:f>IF(Ledger!AA29="","",Ledger!AA29)</x:f>
      </x:c>
      <x:c r="H29" s="17" t="str">
        <x:f>IF(Ledger!AB29="","",Ledger!AB29)</x:f>
      </x:c>
    </x:row>
    <x:row r="30" ht="78" customHeight="1">
      <x:c r="A30" s="17" t="str">
        <x:f>Ledger!A30</x:f>
        <x:v>AUD-025</x:v>
      </x:c>
      <x:c r="B30" s="17" t="str">
        <x:f>Ledger!B30</x:f>
        <x:v>Nanobots will monitor/repair our bodies (e.g. fight disease) by 2019.</x:v>
      </x:c>
      <x:c r="C30" s="17" t="str">
        <x:f>Ledger!C30</x:f>
        <x:v>Biology &amp; medicine</x:v>
      </x:c>
      <x:c r="D30" s="17" t="str">
        <x:f>Ledger!G30</x:f>
        <x:v>2019</x:v>
      </x:c>
      <x:c r="E30" s="17" t="str">
        <x:f>Ledger!Z30</x:f>
        <x:v>UNREVIEWED</x:v>
      </x:c>
      <x:c r="F30" s="17" t="str">
        <x:v>Source, deadline and outcome require review. See Ledger.</x:v>
      </x:c>
      <x:c r="G30" s="17" t="str">
        <x:f>IF(Ledger!AA30="","",Ledger!AA30)</x:f>
      </x:c>
      <x:c r="H30" s="17" t="str">
        <x:f>IF(Ledger!AB30="","",Ledger!AB30)</x:f>
      </x:c>
    </x:row>
    <x:row r="31" ht="78" customHeight="1">
      <x:c r="A31" s="17" t="str">
        <x:f>Ledger!A31</x:f>
        <x:v>AUD-026</x:v>
      </x:c>
      <x:c r="B31" s="17" t="str">
        <x:f>Ledger!B31</x:f>
        <x:v>A consumer PC ($1000) will have human-brain-level computing by 2020.</x:v>
      </x:c>
      <x:c r="C31" s="17" t="str">
        <x:f>Ledger!C31</x:f>
        <x:v>AI &amp; software</x:v>
      </x:c>
      <x:c r="D31" s="17" t="str">
        <x:f>Ledger!G31</x:f>
        <x:v>2020</x:v>
      </x:c>
      <x:c r="E31" s="17" t="str">
        <x:f>Ledger!Z31</x:f>
        <x:v>UNREVIEWED</x:v>
      </x:c>
      <x:c r="F31" s="17" t="str">
        <x:v>Source, deadline and outcome require review. See Ledger.</x:v>
      </x:c>
      <x:c r="G31" s="17" t="str">
        <x:f>IF(Ledger!AA31="","",Ledger!AA31)</x:f>
      </x:c>
      <x:c r="H31" s="17" t="str">
        <x:f>IF(Ledger!AB31="","",Ledger!AB31)</x:f>
      </x:c>
    </x:row>
    <x:row r="32" ht="78" customHeight="1">
      <x:c r="A32" s="17" t="str">
        <x:f>Ledger!A32</x:f>
        <x:v>AUD-027</x:v>
      </x:c>
      <x:c r="B32" s="17" t="str">
        <x:f>Ledger!B32</x:f>
        <x:v>By the 2010s, language translators and personal assistants will be common.</x:v>
      </x:c>
      <x:c r="C32" s="17" t="str">
        <x:f>Ledger!C32</x:f>
        <x:v>Networks &amp; communications</x:v>
      </x:c>
      <x:c r="D32" s="17" t="str">
        <x:f>Ledger!G32</x:f>
        <x:v>2015</x:v>
      </x:c>
      <x:c r="E32" s="17" t="str">
        <x:f>Ledger!Z32</x:f>
        <x:v>UNREVIEWED</x:v>
      </x:c>
      <x:c r="F32" s="17" t="str">
        <x:v>Source, deadline and outcome require review. See Ledger.</x:v>
      </x:c>
      <x:c r="G32" s="17" t="str">
        <x:f>IF(Ledger!AA32="","",Ledger!AA32)</x:f>
      </x:c>
      <x:c r="H32" s="17" t="str">
        <x:f>IF(Ledger!AB32="","",Ledger!AB32)</x:f>
      </x:c>
    </x:row>
    <x:row r="33" ht="78" customHeight="1">
      <x:c r="A33" s="17" t="str">
        <x:f>Ledger!A33</x:f>
        <x:v>AUD-028</x:v>
      </x:c>
      <x:c r="B33" s="17" t="str">
        <x:f>Ledger!B33</x:f>
        <x:v>Autonomous vehicles will be common by 2015.</x:v>
      </x:c>
      <x:c r="C33" s="17" t="str">
        <x:f>Ledger!C33</x:f>
        <x:v>Robotics &amp; transportation</x:v>
      </x:c>
      <x:c r="D33" s="17" t="str">
        <x:f>Ledger!G33</x:f>
        <x:v>2015</x:v>
      </x:c>
      <x:c r="E33" s="17" t="str">
        <x:f>Ledger!Z33</x:f>
        <x:v>UNREVIEWED</x:v>
      </x:c>
      <x:c r="F33" s="17" t="str">
        <x:v>Source, deadline and outcome require review. See Ledger.</x:v>
      </x:c>
      <x:c r="G33" s="17" t="str">
        <x:f>IF(Ledger!AA33="","",Ledger!AA33)</x:f>
      </x:c>
      <x:c r="H33" s="17" t="str">
        <x:f>IF(Ledger!AB33="","",Ledger!AB33)</x:f>
      </x:c>
    </x:row>
    <x:row r="34" ht="78" customHeight="1">
      <x:c r="A34" s="17" t="str">
        <x:f>Ledger!A34</x:f>
        <x:v>AUD-029</x:v>
      </x:c>
      <x:c r="B34" s="17" t="str">
        <x:f>Ledger!B34</x:f>
        <x:v>Wearable biosensors (e.g. health monitors) will be common by 2010.</x:v>
      </x:c>
      <x:c r="C34" s="17" t="str">
        <x:f>Ledger!C34</x:f>
        <x:v>Biology &amp; medicine</x:v>
      </x:c>
      <x:c r="D34" s="17" t="str">
        <x:f>Ledger!G34</x:f>
        <x:v>2010</x:v>
      </x:c>
      <x:c r="E34" s="17" t="str">
        <x:f>Ledger!Z34</x:f>
        <x:v>UNREVIEWED</x:v>
      </x:c>
      <x:c r="F34" s="17" t="str">
        <x:v>Source, deadline and outcome require review. See Ledger.</x:v>
      </x:c>
      <x:c r="G34" s="17" t="str">
        <x:f>IF(Ledger!AA34="","",Ledger!AA34)</x:f>
      </x:c>
      <x:c r="H34" s="17" t="str">
        <x:f>IF(Ledger!AB34="","",Ledger!AB34)</x:f>
      </x:c>
    </x:row>
    <x:row r="35" ht="78" customHeight="1">
      <x:c r="A35" s="17" t="str">
        <x:f>Ledger!A35</x:f>
        <x:v>AUD-030</x:v>
      </x:c>
      <x:c r="B35" s="17" t="str">
        <x:f>Ledger!B35</x:f>
        <x:v>Medical advances will let 100-year-olds reach 120 by 2020.</x:v>
      </x:c>
      <x:c r="C35" s="17" t="str">
        <x:f>Ledger!C35</x:f>
        <x:v>Longevity</x:v>
      </x:c>
      <x:c r="D35" s="17" t="str">
        <x:f>Ledger!G35</x:f>
        <x:v>2020</x:v>
      </x:c>
      <x:c r="E35" s="17" t="str">
        <x:f>Ledger!Z35</x:f>
        <x:v>UNREVIEWED</x:v>
      </x:c>
      <x:c r="F35" s="17" t="str">
        <x:v>Source, deadline and outcome require review. See Ledger.</x:v>
      </x:c>
      <x:c r="G35" s="17" t="str">
        <x:f>IF(Ledger!AA35="","",Ledger!AA35)</x:f>
      </x:c>
      <x:c r="H35" s="17" t="str">
        <x:f>IF(Ledger!AB35="","",Ledger!AB35)</x:f>
      </x:c>
    </x:row>
    <x:row r="36" ht="78" customHeight="1">
      <x:c r="A36" s="17" t="str">
        <x:f>Ledger!A36</x:f>
        <x:v>DEC-001</x:v>
      </x:c>
      <x:c r="B36" s="17" t="str">
        <x:f>Ledger!B36</x:f>
        <x:v>Computer will beat world chess champion by 2000</x:v>
      </x:c>
      <x:c r="C36" s="17" t="str">
        <x:f>Ledger!C36</x:f>
        <x:v>AI &amp; software</x:v>
      </x:c>
      <x:c r="D36" s="17" t="str">
        <x:f>Ledger!G36</x:f>
        <x:v>2000</x:v>
      </x:c>
      <x:c r="E36" s="17" t="str">
        <x:f>Ledger!Z36</x:f>
        <x:v>UNREVIEWED</x:v>
      </x:c>
      <x:c r="F36" s="17" t="str">
        <x:v>Source, deadline and outcome require review. See Ledger.</x:v>
      </x:c>
      <x:c r="G36" s="17" t="str">
        <x:f>IF(Ledger!AA36="","",Ledger!AA36)</x:f>
      </x:c>
      <x:c r="H36" s="17" t="str">
        <x:f>IF(Ledger!AB36="","",Ledger!AB36)</x:f>
      </x:c>
    </x:row>
    <x:row r="37" ht="78" customHeight="1">
      <x:c r="A37" s="17" t="str">
        <x:f>Ledger!A37</x:f>
        <x:v>DEC-002</x:v>
      </x:c>
      <x:c r="B37" s="17" t="str">
        <x:f>Ledger!B37</x:f>
        <x:v>Authoritarian regimes will collapse as tech spreads</x:v>
      </x:c>
      <x:c r="C37" s="17" t="str">
        <x:f>Ledger!C37</x:f>
        <x:v>Economy &amp; society</x:v>
      </x:c>
      <x:c r="D37" s="17" t="str">
        <x:f>Ledger!G37</x:f>
        <x:v>1990s</x:v>
      </x:c>
      <x:c r="E37" s="17" t="str">
        <x:f>Ledger!Z37</x:f>
        <x:v>UNREVIEWED</x:v>
      </x:c>
      <x:c r="F37" s="17" t="str">
        <x:v>Source, deadline and outcome require review. See Ledger.</x:v>
      </x:c>
      <x:c r="G37" s="17" t="str">
        <x:f>IF(Ledger!AA37="","",Ledger!AA37)</x:f>
      </x:c>
      <x:c r="H37" s="17" t="str">
        <x:f>IF(Ledger!AB37="","",Ledger!AB37)</x:f>
      </x:c>
    </x:row>
    <x:row r="38" ht="78" customHeight="1">
      <x:c r="A38" s="17" t="str">
        <x:f>Ledger!A38</x:f>
        <x:v>DEC-003</x:v>
      </x:c>
      <x:c r="B38" s="17" t="str">
        <x:f>Ledger!B38</x:f>
        <x:v>Internet will explode in users and content</x:v>
      </x:c>
      <x:c r="C38" s="17" t="str">
        <x:f>Ledger!C38</x:f>
        <x:v>Computing hardware</x:v>
      </x:c>
      <x:c r="D38" s="17" t="str">
        <x:f>Ledger!G38</x:f>
        <x:v>2000s</x:v>
      </x:c>
      <x:c r="E38" s="17" t="str">
        <x:f>Ledger!Z38</x:f>
        <x:v>UNREVIEWED</x:v>
      </x:c>
      <x:c r="F38" s="17" t="str">
        <x:v>Source, deadline and outcome require review. See Ledger.</x:v>
      </x:c>
      <x:c r="G38" s="17" t="str">
        <x:f>IF(Ledger!AA38="","",Ledger!AA38)</x:f>
      </x:c>
      <x:c r="H38" s="17" t="str">
        <x:f>IF(Ledger!AB38="","",Ledger!AB38)</x:f>
      </x:c>
    </x:row>
    <x:row r="39" ht="78" customHeight="1">
      <x:c r="A39" s="17" t="str">
        <x:f>Ledger!A39</x:f>
        <x:v>DEC-004</x:v>
      </x:c>
      <x:c r="B39" s="17" t="str">
        <x:f>Ledger!B39</x:f>
        <x:v>Wireless access becomes dominant by early 21st century</x:v>
      </x:c>
      <x:c r="C39" s="17" t="str">
        <x:f>Ledger!C39</x:f>
        <x:v>Computing hardware</x:v>
      </x:c>
      <x:c r="D39" s="17" t="str">
        <x:f>Ledger!G39</x:f>
        <x:v>~2010</x:v>
      </x:c>
      <x:c r="E39" s="17" t="str">
        <x:f>Ledger!Z39</x:f>
        <x:v>UNREVIEWED</x:v>
      </x:c>
      <x:c r="F39" s="17" t="str">
        <x:v>Source, deadline and outcome require review. See Ledger.</x:v>
      </x:c>
      <x:c r="G39" s="17" t="str">
        <x:f>IF(Ledger!AA39="","",Ledger!AA39)</x:f>
      </x:c>
      <x:c r="H39" s="17" t="str">
        <x:f>IF(Ledger!AB39="","",Ledger!AB39)</x:f>
      </x:c>
    </x:row>
    <x:row r="40" ht="78" customHeight="1">
      <x:c r="A40" s="17" t="str">
        <x:f>Ledger!A40</x:f>
        <x:v>DEC-005</x:v>
      </x:c>
      <x:c r="B40" s="17" t="str">
        <x:f>Ledger!B40</x:f>
        <x:v>Digital music distribution replaces CDs by 2000s</x:v>
      </x:c>
      <x:c r="C40" s="17" t="str">
        <x:f>Ledger!C40</x:f>
        <x:v>Media, education &amp; culture</x:v>
      </x:c>
      <x:c r="D40" s="17" t="str">
        <x:f>Ledger!G40</x:f>
        <x:v>2000s</x:v>
      </x:c>
      <x:c r="E40" s="17" t="str">
        <x:f>Ledger!Z40</x:f>
        <x:v>UNREVIEWED</x:v>
      </x:c>
      <x:c r="F40" s="17" t="str">
        <x:v>Source, deadline and outcome require review. See Ledger.</x:v>
      </x:c>
      <x:c r="G40" s="17" t="str">
        <x:f>IF(Ledger!AA40="","",Ledger!AA40)</x:f>
      </x:c>
      <x:c r="H40" s="17" t="str">
        <x:f>IF(Ledger!AB40="","",Ledger!AB40)</x:f>
      </x:c>
    </x:row>
    <x:row r="41" ht="78" customHeight="1">
      <x:c r="A41" s="17" t="str">
        <x:f>Ledger!A41</x:f>
        <x:v>DEC-006</x:v>
      </x:c>
      <x:c r="B41" s="17" t="str">
        <x:f>Ledger!B41</x:f>
        <x:v>Digital cameras displace film by 2000</x:v>
      </x:c>
      <x:c r="C41" s="17" t="str">
        <x:f>Ledger!C41</x:f>
        <x:v>Computing hardware</x:v>
      </x:c>
      <x:c r="D41" s="17" t="str">
        <x:f>Ledger!G41</x:f>
        <x:v>2000s</x:v>
      </x:c>
      <x:c r="E41" s="17" t="str">
        <x:f>Ledger!Z41</x:f>
        <x:v>UNREVIEWED</x:v>
      </x:c>
      <x:c r="F41" s="17" t="str">
        <x:v>Source, deadline and outcome require review. See Ledger.</x:v>
      </x:c>
      <x:c r="G41" s="17" t="str">
        <x:f>IF(Ledger!AA41="","",Ledger!AA41)</x:f>
      </x:c>
      <x:c r="H41" s="17" t="str">
        <x:f>IF(Ledger!AB41="","",Ledger!AB41)</x:f>
      </x:c>
    </x:row>
    <x:row r="42" ht="78" customHeight="1">
      <x:c r="A42" s="17" t="str">
        <x:f>Ledger!A42</x:f>
        <x:v>DEC-007</x:v>
      </x:c>
      <x:c r="B42" s="17" t="str">
        <x:f>Ledger!B42</x:f>
        <x:v>Personal assistant AIs in daily use by 2010</x:v>
      </x:c>
      <x:c r="C42" s="17" t="str">
        <x:f>Ledger!C42</x:f>
        <x:v>AI &amp; software</x:v>
      </x:c>
      <x:c r="D42" s="17" t="str">
        <x:f>Ledger!G42</x:f>
        <x:v>2010</x:v>
      </x:c>
      <x:c r="E42" s="17" t="str">
        <x:f>Ledger!Z42</x:f>
        <x:v>UNREVIEWED</x:v>
      </x:c>
      <x:c r="F42" s="17" t="str">
        <x:v>Legacy on-time/achieved label may conflict with its positive drift.</x:v>
      </x:c>
      <x:c r="G42" s="17" t="str">
        <x:f>IF(Ledger!AA42="","",Ledger!AA42)</x:f>
      </x:c>
      <x:c r="H42" s="17" t="str">
        <x:f>IF(Ledger!AB42="","",Ledger!AB42)</x:f>
      </x:c>
    </x:row>
    <x:row r="43" ht="78" customHeight="1">
      <x:c r="A43" s="17" t="str">
        <x:f>Ledger!A43</x:f>
        <x:v>DEC-008</x:v>
      </x:c>
      <x:c r="B43" s="17" t="str">
        <x:f>Ledger!B43</x:f>
        <x:v>Real-time language translation phones by 2000s</x:v>
      </x:c>
      <x:c r="C43" s="17" t="str">
        <x:f>Ledger!C43</x:f>
        <x:v>AI &amp; software</x:v>
      </x:c>
      <x:c r="D43" s="17" t="str">
        <x:f>Ledger!G43</x:f>
        <x:v>2000s</x:v>
      </x:c>
      <x:c r="E43" s="17" t="str">
        <x:f>Ledger!Z43</x:f>
        <x:v>UNREVIEWED</x:v>
      </x:c>
      <x:c r="F43" s="17" t="str">
        <x:v>Source, deadline and outcome require review. See Ledger.</x:v>
      </x:c>
      <x:c r="G43" s="17" t="str">
        <x:f>IF(Ledger!AA43="","",Ledger!AA43)</x:f>
      </x:c>
      <x:c r="H43" s="17" t="str">
        <x:f>IF(Ledger!AB43="","",Ledger!AB43)</x:f>
      </x:c>
    </x:row>
    <x:row r="44" ht="78" customHeight="1">
      <x:c r="A44" s="17" t="str">
        <x:f>Ledger!A44</x:f>
        <x:v>DEC-009</x:v>
      </x:c>
      <x:c r="B44" s="17" t="str">
        <x:f>Ledger!B44</x:f>
        <x:v>Autonomous cars by 2000s</x:v>
      </x:c>
      <x:c r="C44" s="17" t="str">
        <x:f>Ledger!C44</x:f>
        <x:v>Robotics &amp; transportation</x:v>
      </x:c>
      <x:c r="D44" s="17" t="str">
        <x:f>Ledger!G44</x:f>
        <x:v>2009</x:v>
      </x:c>
      <x:c r="E44" s="17" t="str">
        <x:f>Ledger!Z44</x:f>
        <x:v>UNREVIEWED</x:v>
      </x:c>
      <x:c r="F44" s="17" t="str">
        <x:v>Source, deadline and outcome require review. See Ledger.</x:v>
      </x:c>
      <x:c r="G44" s="17" t="str">
        <x:f>IF(Ledger!AA44="","",Ledger!AA44)</x:f>
      </x:c>
      <x:c r="H44" s="17" t="str">
        <x:f>IF(Ledger!AB44="","",Ledger!AB44)</x:f>
      </x:c>
    </x:row>
    <x:row r="45" ht="78" customHeight="1">
      <x:c r="A45" s="17" t="str">
        <x:f>Ledger!A45</x:f>
        <x:v>DEC-010</x:v>
      </x:c>
      <x:c r="B45" s="17" t="str">
        <x:f>Ledger!B45</x:f>
        <x:v>Speech recognition widespread by 2000s</x:v>
      </x:c>
      <x:c r="C45" s="17" t="str">
        <x:f>Ledger!C45</x:f>
        <x:v>AI &amp; software</x:v>
      </x:c>
      <x:c r="D45" s="17" t="str">
        <x:f>Ledger!G45</x:f>
        <x:v>2000s</x:v>
      </x:c>
      <x:c r="E45" s="17" t="str">
        <x:f>Ledger!Z45</x:f>
        <x:v>UNREVIEWED</x:v>
      </x:c>
      <x:c r="F45" s="17" t="str">
        <x:v>Source, deadline and outcome require review. See Ledger.</x:v>
      </x:c>
      <x:c r="G45" s="17" t="str">
        <x:f>IF(Ledger!AA45="","",Ledger!AA45)</x:f>
      </x:c>
      <x:c r="H45" s="17" t="str">
        <x:f>IF(Ledger!AB45="","",Ledger!AB45)</x:f>
      </x:c>
    </x:row>
    <x:row r="46" ht="78" customHeight="1">
      <x:c r="A46" s="17" t="str">
        <x:f>Ledger!A46</x:f>
        <x:v>DEC-011</x:v>
      </x:c>
      <x:c r="B46" s="17" t="str">
        <x:f>Ledger!B46</x:f>
        <x:v>Wearable computers common by 2009</x:v>
      </x:c>
      <x:c r="C46" s="17" t="str">
        <x:f>Ledger!C46</x:f>
        <x:v>Interfaces &amp; virtual worlds</x:v>
      </x:c>
      <x:c r="D46" s="17" t="str">
        <x:f>Ledger!G46</x:f>
        <x:v>2009</x:v>
      </x:c>
      <x:c r="E46" s="17" t="str">
        <x:f>Ledger!Z46</x:f>
        <x:v>UNREVIEWED</x:v>
      </x:c>
      <x:c r="F46" s="17" t="str">
        <x:v>Legacy on-time/achieved label may conflict with its positive drift.</x:v>
      </x:c>
      <x:c r="G46" s="17" t="str">
        <x:f>IF(Ledger!AA46="","",Ledger!AA46)</x:f>
      </x:c>
      <x:c r="H46" s="17" t="str">
        <x:f>IF(Ledger!AB46="","",Ledger!AB46)</x:f>
      </x:c>
    </x:row>
    <x:row r="47" ht="78" customHeight="1">
      <x:c r="A47" s="17" t="str">
        <x:f>Ledger!A47</x:f>
        <x:v>DEC-012</x:v>
      </x:c>
      <x:c r="B47" s="17" t="str">
        <x:f>Ledger!B47</x:f>
        <x:v>Majority of books read digitally by 2009</x:v>
      </x:c>
      <x:c r="C47" s="17" t="str">
        <x:f>Ledger!C47</x:f>
        <x:v>Computing hardware</x:v>
      </x:c>
      <x:c r="D47" s="17" t="str">
        <x:f>Ledger!G47</x:f>
        <x:v>2009</x:v>
      </x:c>
      <x:c r="E47" s="17" t="str">
        <x:f>Ledger!Z47</x:f>
        <x:v>UNREVIEWED</x:v>
      </x:c>
      <x:c r="F47" s="17" t="str">
        <x:v>Source, deadline and outcome require review. See Ledger.</x:v>
      </x:c>
      <x:c r="G47" s="17" t="str">
        <x:f>IF(Ledger!AA47="","",Ledger!AA47)</x:f>
      </x:c>
      <x:c r="H47" s="17" t="str">
        <x:f>IF(Ledger!AB47="","",Ledger!AB47)</x:f>
      </x:c>
    </x:row>
    <x:row r="48" ht="78" customHeight="1">
      <x:c r="A48" s="17" t="str">
        <x:f>Ledger!A48</x:f>
        <x:v>DEC-013</x:v>
      </x:c>
      <x:c r="B48" s="17" t="str">
        <x:f>Ledger!B48</x:f>
        <x:v>People use the Web mainly wirelessly by 2009</x:v>
      </x:c>
      <x:c r="C48" s="17" t="str">
        <x:f>Ledger!C48</x:f>
        <x:v>Computing hardware</x:v>
      </x:c>
      <x:c r="D48" s="17" t="str">
        <x:f>Ledger!G48</x:f>
        <x:v>2009</x:v>
      </x:c>
      <x:c r="E48" s="17" t="str">
        <x:f>Ledger!Z48</x:f>
        <x:v>UNREVIEWED</x:v>
      </x:c>
      <x:c r="F48" s="17" t="str">
        <x:v>Source, deadline and outcome require review. See Ledger.</x:v>
      </x:c>
      <x:c r="G48" s="17" t="str">
        <x:f>IF(Ledger!AA48="","",Ledger!AA48)</x:f>
      </x:c>
      <x:c r="H48" s="17" t="str">
        <x:f>IF(Ledger!AB48="","",Ledger!AB48)</x:f>
      </x:c>
    </x:row>
    <x:row r="49" ht="78" customHeight="1">
      <x:c r="A49" s="17" t="str">
        <x:f>Ledger!A49</x:f>
        <x:v>DEC-014</x:v>
      </x:c>
      <x:c r="B49" s="17" t="str">
        <x:f>Ledger!B49</x:f>
        <x:v>Self-driving cars common by 2009</x:v>
      </x:c>
      <x:c r="C49" s="17" t="str">
        <x:f>Ledger!C49</x:f>
        <x:v>Robotics &amp; transportation</x:v>
      </x:c>
      <x:c r="D49" s="17" t="str">
        <x:f>Ledger!G49</x:f>
        <x:v>2009</x:v>
      </x:c>
      <x:c r="E49" s="17" t="str">
        <x:f>Ledger!Z49</x:f>
        <x:v>UNREVIEWED</x:v>
      </x:c>
      <x:c r="F49" s="17" t="str">
        <x:v>Source, deadline and outcome require review. See Ledger.</x:v>
      </x:c>
      <x:c r="G49" s="17" t="str">
        <x:f>IF(Ledger!AA49="","",Ledger!AA49)</x:f>
      </x:c>
      <x:c r="H49" s="17" t="str">
        <x:f>IF(Ledger!AB49="","",Ledger!AB49)</x:f>
      </x:c>
    </x:row>
    <x:row r="50" ht="78" customHeight="1">
      <x:c r="A50" s="17" t="str">
        <x:f>Ledger!A50</x:f>
        <x:v>DEC-015</x:v>
      </x:c>
      <x:c r="B50" s="17" t="str">
        <x:f>Ledger!B50</x:f>
        <x:v>AR glasses with displays by 2009</x:v>
      </x:c>
      <x:c r="C50" s="17" t="str">
        <x:f>Ledger!C50</x:f>
        <x:v>Interfaces &amp; virtual worlds</x:v>
      </x:c>
      <x:c r="D50" s="17" t="str">
        <x:f>Ledger!G50</x:f>
        <x:v>2009</x:v>
      </x:c>
      <x:c r="E50" s="17" t="str">
        <x:f>Ledger!Z50</x:f>
        <x:v>UNREVIEWED</x:v>
      </x:c>
      <x:c r="F50" s="17" t="str">
        <x:v>Source, deadline and outcome require review. See Ledger.</x:v>
      </x:c>
      <x:c r="G50" s="17" t="str">
        <x:f>IF(Ledger!AA50="","",Ledger!AA50)</x:f>
      </x:c>
      <x:c r="H50" s="17" t="str">
        <x:f>IF(Ledger!AB50="","",Ledger!AB50)</x:f>
      </x:c>
    </x:row>
    <x:row r="51" ht="78" customHeight="1">
      <x:c r="A51" s="17" t="str">
        <x:f>Ledger!A51</x:f>
        <x:v>DEC-016</x:v>
      </x:c>
      <x:c r="B51" s="17" t="str">
        <x:f>Ledger!B51</x:f>
        <x:v>Displays in clothing by 2019</x:v>
      </x:c>
      <x:c r="C51" s="17" t="str">
        <x:f>Ledger!C51</x:f>
        <x:v>Interfaces &amp; virtual worlds</x:v>
      </x:c>
      <x:c r="D51" s="17" t="str">
        <x:f>Ledger!G51</x:f>
        <x:v>2019</x:v>
      </x:c>
      <x:c r="E51" s="17" t="str">
        <x:f>Ledger!Z51</x:f>
        <x:v>UNREVIEWED</x:v>
      </x:c>
      <x:c r="F51" s="17" t="str">
        <x:v>Unquoted comma in legacy Actual Outcome field repaired for parsing; raw row preserved.</x:v>
      </x:c>
      <x:c r="G51" s="17" t="str">
        <x:f>IF(Ledger!AA51="","",Ledger!AA51)</x:f>
      </x:c>
      <x:c r="H51" s="17" t="str">
        <x:f>IF(Ledger!AB51="","",Ledger!AB51)</x:f>
      </x:c>
    </x:row>
    <x:row r="52" ht="78" customHeight="1">
      <x:c r="A52" s="17" t="str">
        <x:f>Ledger!A52</x:f>
        <x:v>DEC-017</x:v>
      </x:c>
      <x:c r="B52" s="17" t="str">
        <x:f>Ledger!B52</x:f>
        <x:v>VR indistinguishable from real by 2019</x:v>
      </x:c>
      <x:c r="C52" s="17" t="str">
        <x:f>Ledger!C52</x:f>
        <x:v>Interfaces &amp; virtual worlds</x:v>
      </x:c>
      <x:c r="D52" s="17" t="str">
        <x:f>Ledger!G52</x:f>
        <x:v>2019</x:v>
      </x:c>
      <x:c r="E52" s="17" t="str">
        <x:f>Ledger!Z52</x:f>
        <x:v>UNREVIEWED</x:v>
      </x:c>
      <x:c r="F52" s="17" t="str">
        <x:v>Source, deadline and outcome require review. See Ledger.</x:v>
      </x:c>
      <x:c r="G52" s="17" t="str">
        <x:f>IF(Ledger!AA52="","",Ledger!AA52)</x:f>
      </x:c>
      <x:c r="H52" s="17" t="str">
        <x:f>IF(Ledger!AB52="","",Ledger!AB52)</x:f>
      </x:c>
    </x:row>
    <x:row r="53" ht="78" customHeight="1">
      <x:c r="A53" s="17" t="str">
        <x:f>Ledger!A53</x:f>
        <x:v>DEC-018</x:v>
      </x:c>
      <x:c r="B53" s="17" t="str">
        <x:f>Ledger!B53</x:f>
        <x:v>Cochlear implants effectively cure deafness</x:v>
      </x:c>
      <x:c r="C53" s="17" t="str">
        <x:f>Ledger!C53</x:f>
        <x:v>Biology &amp; medicine</x:v>
      </x:c>
      <x:c r="D53" s="17" t="str">
        <x:f>Ledger!G53</x:f>
        <x:v>2009</x:v>
      </x:c>
      <x:c r="E53" s="17" t="str">
        <x:f>Ledger!Z53</x:f>
        <x:v>UNREVIEWED</x:v>
      </x:c>
      <x:c r="F53" s="17" t="str">
        <x:v>Source, deadline and outcome require review. See Ledger.</x:v>
      </x:c>
      <x:c r="G53" s="17" t="str">
        <x:f>IF(Ledger!AA53="","",Ledger!AA53)</x:f>
      </x:c>
      <x:c r="H53" s="17" t="str">
        <x:f>IF(Ledger!AB53="","",Ledger!AB53)</x:f>
      </x:c>
    </x:row>
    <x:row r="54" ht="78" customHeight="1">
      <x:c r="A54" s="17" t="str">
        <x:f>Ledger!A54</x:f>
        <x:v>DEC-019</x:v>
      </x:c>
      <x:c r="B54" s="17" t="str">
        <x:f>Ledger!B54</x:f>
        <x:v>Natural language interaction with computers by 2019</x:v>
      </x:c>
      <x:c r="C54" s="17" t="str">
        <x:f>Ledger!C54</x:f>
        <x:v>AI &amp; software</x:v>
      </x:c>
      <x:c r="D54" s="17" t="str">
        <x:f>Ledger!G54</x:f>
        <x:v>2019</x:v>
      </x:c>
      <x:c r="E54" s="17" t="str">
        <x:f>Ledger!Z54</x:f>
        <x:v>UNREVIEWED</x:v>
      </x:c>
      <x:c r="F54" s="17" t="str">
        <x:v>Source, deadline and outcome require review. See Ledger.</x:v>
      </x:c>
      <x:c r="G54" s="17" t="str">
        <x:f>IF(Ledger!AA54="","",Ledger!AA54)</x:f>
      </x:c>
      <x:c r="H54" s="17" t="str">
        <x:f>IF(Ledger!AB54="","",Ledger!AB54)</x:f>
      </x:c>
    </x:row>
    <x:row r="55" ht="78" customHeight="1">
      <x:c r="A55" s="17" t="str">
        <x:f>Ledger!A55</x:f>
        <x:v>DEC-020</x:v>
      </x:c>
      <x:c r="B55" s="17" t="str">
        <x:f>Ledger!B55</x:f>
        <x:v>3D printers for home use by 2019</x:v>
      </x:c>
      <x:c r="C55" s="17" t="str">
        <x:f>Ledger!C55</x:f>
        <x:v>Manufacturing &amp; materials</x:v>
      </x:c>
      <x:c r="D55" s="17" t="str">
        <x:f>Ledger!G55</x:f>
        <x:v>2019</x:v>
      </x:c>
      <x:c r="E55" s="17" t="str">
        <x:f>Ledger!Z55</x:f>
        <x:v>UNREVIEWED</x:v>
      </x:c>
      <x:c r="F55" s="17" t="str">
        <x:v>Source, deadline and outcome require review. See Ledger.</x:v>
      </x:c>
      <x:c r="G55" s="17" t="str">
        <x:f>IF(Ledger!AA55="","",Ledger!AA55)</x:f>
      </x:c>
      <x:c r="H55" s="17" t="str">
        <x:f>IF(Ledger!AB55="","",Ledger!AB55)</x:f>
      </x:c>
    </x:row>
    <x:row r="56" ht="78" customHeight="1">
      <x:c r="A56" s="17" t="str">
        <x:f>Ledger!A56</x:f>
        <x:v>DEC-021</x:v>
      </x:c>
      <x:c r="B56" s="17" t="str">
        <x:f>Ledger!B56</x:f>
        <x:v>PCs embedded in environment by 2010s</x:v>
      </x:c>
      <x:c r="C56" s="17" t="str">
        <x:f>Ledger!C56</x:f>
        <x:v>Computing hardware</x:v>
      </x:c>
      <x:c r="D56" s="17" t="str">
        <x:f>Ledger!G56</x:f>
        <x:v>2010</x:v>
      </x:c>
      <x:c r="E56" s="17" t="str">
        <x:f>Ledger!Z56</x:f>
        <x:v>UNREVIEWED</x:v>
      </x:c>
      <x:c r="F56" s="17" t="str">
        <x:v>Source, deadline and outcome require review. See Ledger.</x:v>
      </x:c>
      <x:c r="G56" s="17" t="str">
        <x:f>IF(Ledger!AA56="","",Ledger!AA56)</x:f>
      </x:c>
      <x:c r="H56" s="17" t="str">
        <x:f>IF(Ledger!AB56="","",Ledger!AB56)</x:f>
      </x:c>
    </x:row>
    <x:row r="57" ht="78" customHeight="1">
      <x:c r="A57" s="17" t="str">
        <x:f>Ledger!A57</x:f>
        <x:v>DEC-022</x:v>
      </x:c>
      <x:c r="B57" s="17" t="str">
        <x:f>Ledger!B57</x:f>
        <x:v>AI-driven cars by 2010s</x:v>
      </x:c>
      <x:c r="C57" s="17" t="str">
        <x:f>Ledger!C57</x:f>
        <x:v>Robotics &amp; transportation</x:v>
      </x:c>
      <x:c r="D57" s="17" t="str">
        <x:f>Ledger!G57</x:f>
        <x:v>2015</x:v>
      </x:c>
      <x:c r="E57" s="17" t="str">
        <x:f>Ledger!Z57</x:f>
        <x:v>UNREVIEWED</x:v>
      </x:c>
      <x:c r="F57" s="17" t="str">
        <x:v>Source, deadline and outcome require review. See Ledger.</x:v>
      </x:c>
      <x:c r="G57" s="17" t="str">
        <x:f>IF(Ledger!AA57="","",Ledger!AA57)</x:f>
      </x:c>
      <x:c r="H57" s="17" t="str">
        <x:f>IF(Ledger!AB57="","",Ledger!AB57)</x:f>
      </x:c>
    </x:row>
    <x:row r="58" ht="78" customHeight="1">
      <x:c r="A58" s="17" t="str">
        <x:f>Ledger!A58</x:f>
        <x:v>DEC-023</x:v>
      </x:c>
      <x:c r="B58" s="17" t="str">
        <x:f>Ledger!B58</x:f>
        <x:v>Bioengineered organs for transplant by 2010s</x:v>
      </x:c>
      <x:c r="C58" s="17" t="str">
        <x:f>Ledger!C58</x:f>
        <x:v>Biology &amp; medicine</x:v>
      </x:c>
      <x:c r="D58" s="17" t="str">
        <x:f>Ledger!G58</x:f>
        <x:v>2015</x:v>
      </x:c>
      <x:c r="E58" s="17" t="str">
        <x:f>Ledger!Z58</x:f>
        <x:v>UNREVIEWED</x:v>
      </x:c>
      <x:c r="F58" s="17" t="str">
        <x:v>Unquoted comma in legacy Actual Outcome field repaired for parsing; raw row preserved.</x:v>
      </x:c>
      <x:c r="G58" s="17" t="str">
        <x:f>IF(Ledger!AA58="","",Ledger!AA58)</x:f>
      </x:c>
      <x:c r="H58" s="17" t="str">
        <x:f>IF(Ledger!AB58="","",Ledger!AB58)</x:f>
      </x:c>
    </x:row>
    <x:row r="59" ht="78" customHeight="1">
      <x:c r="A59" s="17" t="str">
        <x:f>Ledger!A59</x:f>
        <x:v>DEC-024</x:v>
      </x:c>
      <x:c r="B59" s="17" t="str">
        <x:f>Ledger!B59</x:f>
        <x:v>Nanobots in bloodstream by 2020s</x:v>
      </x:c>
      <x:c r="C59" s="17" t="str">
        <x:f>Ledger!C59</x:f>
        <x:v>Biology &amp; medicine</x:v>
      </x:c>
      <x:c r="D59" s="17" t="str">
        <x:f>Ledger!G59</x:f>
        <x:v>2020</x:v>
      </x:c>
      <x:c r="E59" s="17" t="str">
        <x:f>Ledger!Z59</x:f>
        <x:v>UNREVIEWED</x:v>
      </x:c>
      <x:c r="F59" s="17" t="str">
        <x:v>Source, deadline and outcome require review. See Ledger.</x:v>
      </x:c>
      <x:c r="G59" s="17" t="str">
        <x:f>IF(Ledger!AA59="","",Ledger!AA59)</x:f>
      </x:c>
      <x:c r="H59" s="17" t="str">
        <x:f>IF(Ledger!AB59="","",Ledger!AB59)</x:f>
      </x:c>
    </x:row>
    <x:row r="60" ht="78" customHeight="1">
      <x:c r="A60" s="17" t="str">
        <x:f>Ledger!A60</x:f>
        <x:v>DEC-025</x:v>
      </x:c>
      <x:c r="B60" s="17" t="str">
        <x:f>Ledger!B60</x:f>
        <x:v>Constant wireless Internet access by 2015</x:v>
      </x:c>
      <x:c r="C60" s="17" t="str">
        <x:f>Ledger!C60</x:f>
        <x:v>Computing hardware</x:v>
      </x:c>
      <x:c r="D60" s="17" t="str">
        <x:f>Ledger!G60</x:f>
        <x:v>2015</x:v>
      </x:c>
      <x:c r="E60" s="17" t="str">
        <x:f>Ledger!Z60</x:f>
        <x:v>UNREVIEWED</x:v>
      </x:c>
      <x:c r="F60" s="17" t="str">
        <x:v>Source, deadline and outcome require review. See Ledger.</x:v>
      </x:c>
      <x:c r="G60" s="17" t="str">
        <x:f>IF(Ledger!AA60="","",Ledger!AA60)</x:f>
      </x:c>
      <x:c r="H60" s="17" t="str">
        <x:f>IF(Ledger!AB60="","",Ledger!AB60)</x:f>
      </x:c>
    </x:row>
    <x:row r="61" ht="78" customHeight="1">
      <x:c r="A61" s="17" t="str">
        <x:f>Ledger!A61</x:f>
        <x:v>DEC-026</x:v>
      </x:c>
      <x:c r="B61" s="17" t="str">
        <x:f>Ledger!B61</x:f>
        <x:v>Most paper scanned &amp; searchable by 2015</x:v>
      </x:c>
      <x:c r="C61" s="17" t="str">
        <x:f>Ledger!C61</x:f>
        <x:v>Computing hardware</x:v>
      </x:c>
      <x:c r="D61" s="17" t="str">
        <x:f>Ledger!G61</x:f>
        <x:v>2015</x:v>
      </x:c>
      <x:c r="E61" s="17" t="str">
        <x:f>Ledger!Z61</x:f>
        <x:v>UNREVIEWED</x:v>
      </x:c>
      <x:c r="F61" s="17" t="str">
        <x:v>Source, deadline and outcome require review. See Ledger.</x:v>
      </x:c>
      <x:c r="G61" s="17" t="str">
        <x:f>IF(Ledger!AA61="","",Ledger!AA61)</x:f>
      </x:c>
      <x:c r="H61" s="17" t="str">
        <x:f>IF(Ledger!AB61="","",Ledger!AB61)</x:f>
      </x:c>
    </x:row>
    <x:row r="62" ht="78" customHeight="1">
      <x:c r="A62" s="17" t="str">
        <x:f>Ledger!A62</x:f>
        <x:v>DEC-027</x:v>
      </x:c>
      <x:c r="B62" s="17" t="str">
        <x:f>Ledger!B62</x:f>
        <x:v>Computer passes Turing Test by 2029</x:v>
      </x:c>
      <x:c r="C62" s="17" t="str">
        <x:f>Ledger!C62</x:f>
        <x:v>AI &amp; software</x:v>
      </x:c>
      <x:c r="D62" s="17" t="str">
        <x:f>Ledger!G62</x:f>
        <x:v>2029</x:v>
      </x:c>
      <x:c r="E62" s="17" t="str">
        <x:f>Ledger!Z62</x:f>
        <x:v>UNREVIEWED</x:v>
      </x:c>
      <x:c r="F62" s="17" t="str">
        <x:v>Source, deadline and outcome require review. See Ledger.</x:v>
      </x:c>
      <x:c r="G62" s="17" t="str">
        <x:f>IF(Ledger!AA62="","",Ledger!AA62)</x:f>
      </x:c>
      <x:c r="H62" s="17" t="str">
        <x:f>IF(Ledger!AB62="","",Ledger!AB62)</x:f>
      </x:c>
    </x:row>
    <x:row r="63" ht="78" customHeight="1">
      <x:c r="A63" s="17" t="str">
        <x:f>Ledger!A63</x:f>
        <x:v>DEC-028</x:v>
      </x:c>
      <x:c r="B63" s="17" t="str">
        <x:f>Ledger!B63</x:f>
        <x:v>Virtual reality indistinguishable by 2020s</x:v>
      </x:c>
      <x:c r="C63" s="17" t="str">
        <x:f>Ledger!C63</x:f>
        <x:v>Interfaces &amp; virtual worlds</x:v>
      </x:c>
      <x:c r="D63" s="17" t="str">
        <x:f>Ledger!G63</x:f>
        <x:v>2029</x:v>
      </x:c>
      <x:c r="E63" s="17" t="str">
        <x:f>Ledger!Z63</x:f>
        <x:v>UNREVIEWED</x:v>
      </x:c>
      <x:c r="F63" s="17" t="str">
        <x:v>Source, deadline and outcome require review. See Ledger.</x:v>
      </x:c>
      <x:c r="G63" s="17" t="str">
        <x:f>IF(Ledger!AA63="","",Ledger!AA63)</x:f>
      </x:c>
      <x:c r="H63" s="17" t="str">
        <x:f>IF(Ledger!AB63="","",Ledger!AB63)</x:f>
      </x:c>
    </x:row>
    <x:row r="64" ht="78" customHeight="1">
      <x:c r="A64" s="17" t="str">
        <x:f>Ledger!A64</x:f>
        <x:v>DEC-029</x:v>
      </x:c>
      <x:c r="B64" s="17" t="str">
        <x:f>Ledger!B64</x:f>
        <x:v>Tether consciousness (mind-upload) by 2030s</x:v>
      </x:c>
      <x:c r="C64" s="17" t="str">
        <x:f>Ledger!C64</x:f>
        <x:v>Biology &amp; medicine</x:v>
      </x:c>
      <x:c r="D64" s="17" t="str">
        <x:f>Ledger!G64</x:f>
        <x:v>2030s</x:v>
      </x:c>
      <x:c r="E64" s="17" t="str">
        <x:f>Ledger!Z64</x:f>
        <x:v>UNREVIEWED</x:v>
      </x:c>
      <x:c r="F64" s="17" t="str">
        <x:v>Source, deadline and outcome require review. See Ledger.</x:v>
      </x:c>
      <x:c r="G64" s="17" t="str">
        <x:f>IF(Ledger!AA64="","",Ledger!AA64)</x:f>
      </x:c>
      <x:c r="H64" s="17" t="str">
        <x:f>IF(Ledger!AB64="","",Ledger!AB64)</x:f>
      </x:c>
    </x:row>
    <x:row r="65" ht="78" customHeight="1">
      <x:c r="A65" s="17" t="str">
        <x:f>Ledger!A65</x:f>
        <x:v>DEC-030</x:v>
      </x:c>
      <x:c r="B65" s="17" t="str">
        <x:f>Ledger!B65</x:f>
        <x:v>Humans mostly non-biological by 2030s</x:v>
      </x:c>
      <x:c r="C65" s="17" t="str">
        <x:f>Ledger!C65</x:f>
        <x:v>Biology &amp; medicine</x:v>
      </x:c>
      <x:c r="D65" s="17" t="str">
        <x:f>Ledger!G65</x:f>
        <x:v>2030s</x:v>
      </x:c>
      <x:c r="E65" s="17" t="str">
        <x:f>Ledger!Z65</x:f>
        <x:v>UNREVIEWED</x:v>
      </x:c>
      <x:c r="F65" s="17" t="str">
        <x:v>Source, deadline and outcome require review. See Ledger.</x:v>
      </x:c>
      <x:c r="G65" s="17" t="str">
        <x:f>IF(Ledger!AA65="","",Ledger!AA65)</x:f>
      </x:c>
      <x:c r="H65" s="17" t="str">
        <x:f>IF(Ledger!AB65="","",Ledger!AB65)</x:f>
      </x:c>
    </x:row>
    <x:row r="66" ht="78" customHeight="1">
      <x:c r="A66" s="17" t="str">
        <x:f>Ledger!A66</x:f>
        <x:v>DEC-031</x:v>
      </x:c>
      <x:c r="B66" s="17" t="str">
        <x:f>Ledger!B66</x:f>
        <x:v>Universal basic income early 2030s (rich) / end of 2030s (worldwide)</x:v>
      </x:c>
      <x:c r="C66" s="17" t="str">
        <x:f>Ledger!C66</x:f>
        <x:v>Economy &amp; society</x:v>
      </x:c>
      <x:c r="D66" s="17" t="str">
        <x:f>Ledger!G66</x:f>
        <x:v>2030s</x:v>
      </x:c>
      <x:c r="E66" s="17" t="str">
        <x:f>Ledger!Z66</x:f>
        <x:v>UNREVIEWED</x:v>
      </x:c>
      <x:c r="F66" s="17" t="str">
        <x:v>Source, deadline and outcome require review. See Ledger.</x:v>
      </x:c>
      <x:c r="G66" s="17" t="str">
        <x:f>IF(Ledger!AA66="","",Ledger!AA66)</x:f>
      </x:c>
      <x:c r="H66" s="17" t="str">
        <x:f>IF(Ledger!AB66="","",Ledger!AB66)</x:f>
      </x:c>
    </x:row>
    <x:row r="67" ht="78" customHeight="1">
      <x:c r="A67" s="17" t="str">
        <x:f>Ledger!A67</x:f>
        <x:v>DEC-032</x:v>
      </x:c>
      <x:c r="B67" s="17" t="str">
        <x:f>Ledger!B67</x:f>
        <x:v>First 150-year-old by 2050 (implying longevity breakthroughs)</x:v>
      </x:c>
      <x:c r="C67" s="17" t="str">
        <x:f>Ledger!C67</x:f>
        <x:v>Longevity</x:v>
      </x:c>
      <x:c r="D67" s="17" t="str">
        <x:f>Ledger!G67</x:f>
        <x:v>2050s</x:v>
      </x:c>
      <x:c r="E67" s="17" t="str">
        <x:f>Ledger!Z67</x:f>
        <x:v>UNREVIEWED</x:v>
      </x:c>
      <x:c r="F67" s="17" t="str">
        <x:v>Source, deadline and outcome require review. See Ledger.</x:v>
      </x:c>
      <x:c r="G67" s="17" t="str">
        <x:f>IF(Ledger!AA67="","",Ledger!AA67)</x:f>
      </x:c>
      <x:c r="H67" s="17" t="str">
        <x:f>IF(Ledger!AB67="","",Ledger!AB67)</x:f>
      </x:c>
    </x:row>
    <x:row r="68" ht="78" customHeight="1">
      <x:c r="A68" s="17" t="str">
        <x:f>Ledger!A68</x:f>
        <x:v>EXE-001</x:v>
      </x:c>
      <x:c r="B68" s="17" t="str">
        <x:f>Ledger!B68</x:f>
        <x:v>“we will see a [computer] world champion by the year 2000”【45†L226-L233】</x:v>
      </x:c>
      <x:c r="C68" s="17" t="str">
        <x:f>Ledger!C68</x:f>
        <x:v>AI &amp; software</x:v>
      </x:c>
      <x:c r="D68" s="17" t="str">
        <x:f>Ledger!G68</x:f>
        <x:v>2000</x:v>
      </x:c>
      <x:c r="E68" s="17" t="str">
        <x:f>Ledger!Z68</x:f>
        <x:v>UNREVIEWED</x:v>
      </x:c>
      <x:c r="F68" s="17" t="str">
        <x:v>Source, deadline and outcome require review. See Ledger.</x:v>
      </x:c>
      <x:c r="G68" s="17" t="str">
        <x:f>IF(Ledger!AA68="","",Ledger!AA68)</x:f>
      </x:c>
      <x:c r="H68" s="17" t="str">
        <x:f>IF(Ledger!AB68="","",Ledger!AB68)</x:f>
      </x:c>
    </x:row>
    <x:row r="69" ht="78" customHeight="1">
      <x:c r="A69" s="17" t="str">
        <x:f>Ledger!A69</x:f>
        <x:v>EXE-002</x:v>
      </x:c>
      <x:c r="B69" s="17" t="str">
        <x:f>Ledger!B69</x:f>
        <x:v>“translating telephone” (real-time speech translation) by 2010【45†L295-L300】</x:v>
      </x:c>
      <x:c r="C69" s="17" t="str">
        <x:f>Ledger!C69</x:f>
        <x:v>Networks &amp; communications</x:v>
      </x:c>
      <x:c r="D69" s="17" t="str">
        <x:f>Ledger!G69</x:f>
        <x:v>2010</x:v>
      </x:c>
      <x:c r="E69" s="17" t="str">
        <x:f>Ledger!Z69</x:f>
        <x:v>UNREVIEWED</x:v>
      </x:c>
      <x:c r="F69" s="17" t="str">
        <x:v>Source, deadline and outcome require review. See Ledger.</x:v>
      </x:c>
      <x:c r="G69" s="17" t="str">
        <x:f>IF(Ledger!AA69="","",Ledger!AA69)</x:f>
      </x:c>
      <x:c r="H69" s="17" t="str">
        <x:f>IF(Ledger!AB69="","",Ledger!AB69)</x:f>
      </x:c>
    </x:row>
    <x:row r="70" ht="78" customHeight="1">
      <x:c r="A70" s="17" t="str">
        <x:f>Ledger!A70</x:f>
        <x:v>EXE-003</x:v>
      </x:c>
      <x:c r="B70" s="17" t="str">
        <x:f>Ledger!B70</x:f>
        <x:v>“intelligent assistants” (AI aides) by mid-1990s【45†L295-L300】</x:v>
      </x:c>
      <x:c r="C70" s="17" t="str">
        <x:f>Ledger!C70</x:f>
        <x:v>AI &amp; software</x:v>
      </x:c>
      <x:c r="D70" s="17" t="str">
        <x:f>Ledger!G70</x:f>
        <x:v>~1995</x:v>
      </x:c>
      <x:c r="E70" s="17" t="str">
        <x:f>Ledger!Z70</x:f>
        <x:v>UNREVIEWED</x:v>
      </x:c>
      <x:c r="F70" s="17" t="str">
        <x:v>Source, deadline and outcome require review. See Ledger.</x:v>
      </x:c>
      <x:c r="G70" s="17" t="str">
        <x:f>IF(Ledger!AA70="","",Ledger!AA70)</x:f>
      </x:c>
      <x:c r="H70" s="17" t="str">
        <x:f>IF(Ledger!AB70="","",Ledger!AB70)</x:f>
      </x:c>
    </x:row>
    <x:row r="71" ht="78" customHeight="1">
      <x:c r="A71" s="17" t="str">
        <x:f>Ledger!A71</x:f>
        <x:v>EXE-004</x:v>
      </x:c>
      <x:c r="B71" s="17" t="str">
        <x:f>Ledger!B71</x:f>
        <x:v>“translating telephone by 2010;…completely driverless car by well into first half of 21st century”【45†L295-L300】</x:v>
      </x:c>
      <x:c r="C71" s="17" t="str">
        <x:f>Ledger!C71</x:f>
        <x:v>Robotics &amp; transportation</x:v>
      </x:c>
      <x:c r="D71" s="17" t="str">
        <x:f>Ledger!G71</x:f>
        <x:v>2010; ~2050</x:v>
      </x:c>
      <x:c r="E71" s="17" t="str">
        <x:f>Ledger!Z71</x:f>
        <x:v>UNREVIEWED</x:v>
      </x:c>
      <x:c r="F71" s="17" t="str">
        <x:v>Source, deadline and outcome require review. See Ledger.</x:v>
      </x:c>
      <x:c r="G71" s="17" t="str">
        <x:f>IF(Ledger!AA71="","",Ledger!AA71)</x:f>
      </x:c>
      <x:c r="H71" s="17" t="str">
        <x:f>IF(Ledger!AB71="","",Ledger!AB71)</x:f>
      </x:c>
    </x:row>
    <x:row r="72" ht="78" customHeight="1">
      <x:c r="A72" s="17" t="str">
        <x:f>Ledger!A72</x:f>
        <x:v>EXE-005</x:v>
      </x:c>
      <x:c r="B72" s="17" t="str">
        <x:f>Ledger!B72</x:f>
        <x:v>“People will use electronic documents [hypertext],… instead of linear like a book”【45†L309-L313】</x:v>
      </x:c>
      <x:c r="C72" s="17" t="str">
        <x:f>Ledger!C72</x:f>
        <x:v>Computing hardware</x:v>
      </x:c>
      <x:c r="D72" s="17" t="str">
        <x:f>Ledger!G72</x:f>
        <x:v>2000s</x:v>
      </x:c>
      <x:c r="E72" s="17" t="str">
        <x:f>Ledger!Z72</x:f>
        <x:v>UNREVIEWED</x:v>
      </x:c>
      <x:c r="F72" s="17" t="str">
        <x:v>Source, deadline and outcome require review. See Ledger.</x:v>
      </x:c>
      <x:c r="G72" s="17" t="str">
        <x:f>IF(Ledger!AA72="","",Ledger!AA72)</x:f>
      </x:c>
      <x:c r="H72" s="17" t="str">
        <x:f>IF(Ledger!AB72="","",Ledger!AB72)</x:f>
      </x:c>
    </x:row>
    <x:row r="73" ht="78" customHeight="1">
      <x:c r="A73" s="17" t="str">
        <x:f>Ledger!A73</x:f>
        <x:v>EXE-006</x:v>
      </x:c>
      <x:c r="B73" s="17" t="str">
        <x:f>Ledger!B73</x:f>
        <x:v>“laser and particle beam weapons, and planes without human pilots” in future warfare【45†L319-L323】</x:v>
      </x:c>
      <x:c r="C73" s="17" t="str">
        <x:f>Ledger!C73</x:f>
        <x:v>Security &amp; warfare</x:v>
      </x:c>
      <x:c r="D73" s="17" t="str">
        <x:f>Ledger!G73</x:f>
        <x:v>2000–2010</x:v>
      </x:c>
      <x:c r="E73" s="17" t="str">
        <x:f>Ledger!Z73</x:f>
        <x:v>UNREVIEWED</x:v>
      </x:c>
      <x:c r="F73" s="17" t="str">
        <x:v>Source, deadline and outcome require review. See Ledger.</x:v>
      </x:c>
      <x:c r="G73" s="17" t="str">
        <x:f>IF(Ledger!AA73="","",Ledger!AA73)</x:f>
      </x:c>
      <x:c r="H73" s="17" t="str">
        <x:f>IF(Ledger!AB73="","",Ledger!AB73)</x:f>
      </x:c>
    </x:row>
    <x:row r="74" ht="78" customHeight="1">
      <x:c r="A74" s="17" t="str">
        <x:f>Ledger!A74</x:f>
        <x:v>EXE-008</x:v>
      </x:c>
      <x:c r="B74" s="17" t="str">
        <x:f>Ledger!B74</x:f>
        <x:v>“2009 computer will be a tablet or smaller device with high quality… display”【63†L382-L389】</x:v>
      </x:c>
      <x:c r="C74" s="17" t="str">
        <x:f>Ledger!C74</x:f>
        <x:v>Interfaces &amp; virtual worlds</x:v>
      </x:c>
      <x:c r="D74" s="17" t="str">
        <x:f>Ledger!G74</x:f>
        <x:v>2009</x:v>
      </x:c>
      <x:c r="E74" s="17" t="str">
        <x:f>Ledger!Z74</x:f>
        <x:v>UNREVIEWED</x:v>
      </x:c>
      <x:c r="F74" s="17" t="str">
        <x:v>Source, deadline and outcome require review. See Ledger.</x:v>
      </x:c>
      <x:c r="G74" s="17" t="str">
        <x:f>IF(Ledger!AA74="","",Ledger!AA74)</x:f>
      </x:c>
      <x:c r="H74" s="17" t="str">
        <x:f>IF(Ledger!AB74="","",Ledger!AB74)</x:f>
      </x:c>
    </x:row>
    <x:row r="75" ht="78" customHeight="1">
      <x:c r="A75" s="17" t="str">
        <x:f>Ledger!A75</x:f>
        <x:v>EXE-009</x:v>
      </x:c>
      <x:c r="B75" s="17" t="str">
        <x:f>Ledger!B75</x:f>
        <x:v>“2019 computers are largely invisible – images projected directly into the retina”【63†L382-L389】</x:v>
      </x:c>
      <x:c r="C75" s="17" t="str">
        <x:f>Ledger!C75</x:f>
        <x:v>Interfaces &amp; virtual worlds</x:v>
      </x:c>
      <x:c r="D75" s="17" t="str">
        <x:f>Ledger!G75</x:f>
        <x:v>2019</x:v>
      </x:c>
      <x:c r="E75" s="17" t="str">
        <x:f>Ledger!Z75</x:f>
        <x:v>UNREVIEWED</x:v>
      </x:c>
      <x:c r="F75" s="17" t="str">
        <x:v>Source, deadline and outcome require review. See Ledger.</x:v>
      </x:c>
      <x:c r="G75" s="17" t="str">
        <x:f>IF(Ledger!AA75="","",Ledger!AA75)</x:f>
      </x:c>
      <x:c r="H75" s="17" t="str">
        <x:f>IF(Ledger!AB75="","",Ledger!AB75)</x:f>
      </x:c>
    </x:row>
    <x:row r="76" ht="78" customHeight="1">
      <x:c r="A76" s="17" t="str">
        <x:f>Ledger!A76</x:f>
        <x:v>EXE-010</x:v>
      </x:c>
      <x:c r="B76" s="17" t="str">
        <x:f>Ledger!B76</x:f>
        <x:v>“2029 computers will communicate through direct neural pathways”【63†L382-L389】</x:v>
      </x:c>
      <x:c r="C76" s="17" t="str">
        <x:f>Ledger!C76</x:f>
        <x:v>Neuroscience &amp; human augmentation</x:v>
      </x:c>
      <x:c r="D76" s="17" t="str">
        <x:f>Ledger!G76</x:f>
        <x:v>2029</x:v>
      </x:c>
      <x:c r="E76" s="17" t="str">
        <x:f>Ledger!Z76</x:f>
        <x:v>UNREVIEWED</x:v>
      </x:c>
      <x:c r="F76" s="17" t="str">
        <x:v>Source, deadline and outcome require review. See Ledger.</x:v>
      </x:c>
      <x:c r="G76" s="17" t="str">
        <x:f>IF(Ledger!AA76="","",Ledger!AA76)</x:f>
      </x:c>
      <x:c r="H76" s="17" t="str">
        <x:f>IF(Ledger!AB76="","",Ledger!AB76)</x:f>
      </x:c>
    </x:row>
    <x:row r="77" ht="78" customHeight="1">
      <x:c r="A77" s="17" t="str">
        <x:f>Ledger!A77</x:f>
        <x:v>EXE-011</x:v>
      </x:c>
      <x:c r="B77" s="17" t="str">
        <x:f>Ledger!B77</x:f>
        <x:v>“Interest and speculation about the Turing test in 2009; by 2029 machines ‘routinely’ pass the test”【63†L386-L390】</x:v>
      </x:c>
      <x:c r="C77" s="17" t="str">
        <x:f>Ledger!C77</x:f>
        <x:v>AI &amp; software</x:v>
      </x:c>
      <x:c r="D77" s="17" t="str">
        <x:f>Ledger!G77</x:f>
        <x:v>2009, 2019, 2029</x:v>
      </x:c>
      <x:c r="E77" s="17" t="str">
        <x:f>Ledger!Z77</x:f>
        <x:v>UNREVIEWED</x:v>
      </x:c>
      <x:c r="F77" s="17" t="str">
        <x:v>Source, deadline and outcome require review. See Ledger.</x:v>
      </x:c>
      <x:c r="G77" s="17" t="str">
        <x:f>IF(Ledger!AA77="","",Ledger!AA77)</x:f>
      </x:c>
      <x:c r="H77" s="17" t="str">
        <x:f>IF(Ledger!AB77="","",Ledger!AB77)</x:f>
      </x:c>
    </x:row>
    <x:row r="78" ht="78" customHeight="1">
      <x:c r="A78" s="17" t="str">
        <x:f>Ledger!A78</x:f>
        <x:v>EXE-012</x:v>
      </x:c>
      <x:c r="B78" s="17" t="str">
        <x:f>Ledger!B78</x:f>
        <x:v>“In 2009 it will take a supercomputer to match one human brain; in 2019 \$4,000 does the same; in 2029 \$1,000 buys 1000 brains”【63†L392-L399】</x:v>
      </x:c>
      <x:c r="C78" s="17" t="str">
        <x:f>Ledger!C78</x:f>
        <x:v>AI &amp; software</x:v>
      </x:c>
      <x:c r="D78" s="17" t="str">
        <x:f>Ledger!G78</x:f>
        <x:v>2009–2029</x:v>
      </x:c>
      <x:c r="E78" s="17" t="str">
        <x:f>Ledger!Z78</x:f>
        <x:v>UNREVIEWED</x:v>
      </x:c>
      <x:c r="F78" s="17" t="str">
        <x:v>Source, deadline and outcome require review. See Ledger.</x:v>
      </x:c>
      <x:c r="G78" s="17" t="str">
        <x:f>IF(Ledger!AA78="","",Ledger!AA78)</x:f>
      </x:c>
      <x:c r="H78" s="17" t="str">
        <x:f>IF(Ledger!AB78="","",Ledger!AB78)</x:f>
      </x:c>
    </x:row>
    <x:row r="79" ht="78" customHeight="1">
      <x:c r="A79" s="17" t="str">
        <x:f>Ledger!A79</x:f>
        <x:v>EXE-013</x:v>
      </x:c>
      <x:c r="B79" s="17" t="str">
        <x:f>Ledger!B79</x:f>
        <x:v>“Life expectancy &gt;100 by 2019; 120 by 2029; indefinite by 2099”【63†L392-L399】</x:v>
      </x:c>
      <x:c r="C79" s="17" t="str">
        <x:f>Ledger!C79</x:f>
        <x:v>Longevity</x:v>
      </x:c>
      <x:c r="D79" s="17" t="str">
        <x:f>Ledger!G79</x:f>
        <x:v>2019, 2029, 2099</x:v>
      </x:c>
      <x:c r="E79" s="17" t="str">
        <x:f>Ledger!Z79</x:f>
        <x:v>UNREVIEWED</x:v>
      </x:c>
      <x:c r="F79" s="17" t="str">
        <x:v>Source, deadline and outcome require review. See Ledger.</x:v>
      </x:c>
      <x:c r="G79" s="17" t="str">
        <x:f>IF(Ledger!AA79="","",Ledger!AA79)</x:f>
      </x:c>
      <x:c r="H79" s="17" t="str">
        <x:f>IF(Ledger!AB79="","",Ledger!AB79)</x:f>
      </x:c>
    </x:row>
    <x:row r="80" ht="78" customHeight="1">
      <x:c r="A80" s="17" t="str">
        <x:f>Ledger!A80</x:f>
        <x:v>EXE-014</x:v>
      </x:c>
      <x:c r="B80" s="17" t="str">
        <x:f>Ledger!B80</x:f>
        <x:v>“Within 10 years (by 2009) we will have option to spend time in 3D virtual environments that appear just as real…”【79†L688-L695】</x:v>
      </x:c>
      <x:c r="C80" s="17" t="str">
        <x:f>Ledger!C80</x:f>
        <x:v>Interfaces &amp; virtual worlds</x:v>
      </x:c>
      <x:c r="D80" s="17" t="str">
        <x:f>Ledger!G80</x:f>
        <x:v>2009</x:v>
      </x:c>
      <x:c r="E80" s="17" t="str">
        <x:f>Ledger!Z80</x:f>
        <x:v>UNREVIEWED</x:v>
      </x:c>
      <x:c r="F80" s="17" t="str">
        <x:v>Source, deadline and outcome require review. See Ledger.</x:v>
      </x:c>
      <x:c r="G80" s="17" t="str">
        <x:f>IF(Ledger!AA80="","",Ledger!AA80)</x:f>
      </x:c>
      <x:c r="H80" s="17" t="str">
        <x:f>IF(Ledger!AB80="","",Ledger!AB80)</x:f>
      </x:c>
    </x:row>
    <x:row r="81" ht="78" customHeight="1">
      <x:c r="A81" s="17" t="str">
        <x:f>Ledger!A81</x:f>
        <x:v>EXE-015</x:v>
      </x:c>
      <x:c r="B81" s="17" t="str">
        <x:f>Ledger!B81</x:f>
        <x:v>“Within 20 years (by 2019) millions of nanobots (blood-cell sized) will fight disease inside our bodies”【79†L688-L695】</x:v>
      </x:c>
      <x:c r="C81" s="17" t="str">
        <x:f>Ledger!C81</x:f>
        <x:v>Biology &amp; medicine</x:v>
      </x:c>
      <x:c r="D81" s="17" t="str">
        <x:f>Ledger!G81</x:f>
        <x:v>2019</x:v>
      </x:c>
      <x:c r="E81" s="17" t="str">
        <x:f>Ledger!Z81</x:f>
        <x:v>UNREVIEWED</x:v>
      </x:c>
      <x:c r="F81" s="17" t="str">
        <x:v>Source, deadline and outcome require review. See Ledger.</x:v>
      </x:c>
      <x:c r="G81" s="17" t="str">
        <x:f>IF(Ledger!AA81="","",Ledger!AA81)</x:f>
      </x:c>
      <x:c r="H81" s="17" t="str">
        <x:f>IF(Ledger!AB81="","",Ledger!AB81)</x:f>
      </x:c>
    </x:row>
    <x:row r="82" ht="78" customHeight="1">
      <x:c r="A82" s="17" t="str">
        <x:f>Ledger!A82</x:f>
        <x:v>EXE-017</x:v>
      </x:c>
      <x:c r="B82" s="17" t="str">
        <x:f>Ledger!B82</x:f>
        <x:v>“By 2010 a supercomputer will have the computational capacity to emulate human intelligence”【22†L381-L389】</x:v>
      </x:c>
      <x:c r="C82" s="17" t="str">
        <x:f>Ledger!C82</x:f>
        <x:v>AI &amp; software</x:v>
      </x:c>
      <x:c r="D82" s="17" t="str">
        <x:f>Ledger!G82</x:f>
        <x:v>2010</x:v>
      </x:c>
      <x:c r="E82" s="17" t="str">
        <x:f>Ledger!Z82</x:f>
        <x:v>UNREVIEWED</x:v>
      </x:c>
      <x:c r="F82" s="17" t="str">
        <x:v>Source, deadline and outcome require review. See Ledger.</x:v>
      </x:c>
      <x:c r="G82" s="17" t="str">
        <x:f>IF(Ledger!AA82="","",Ledger!AA82)</x:f>
      </x:c>
      <x:c r="H82" s="17" t="str">
        <x:f>IF(Ledger!AB82="","",Ledger!AB82)</x:f>
      </x:c>
    </x:row>
    <x:row r="83" ht="78" customHeight="1">
      <x:c r="A83" s="17" t="str">
        <x:f>Ledger!A83</x:f>
        <x:v>EXE-018</x:v>
      </x:c>
      <x:c r="B83" s="17" t="str">
        <x:f>Ledger!B83</x:f>
        <x:v>“By around 2020 the same capacity will be available for \$1,000”【22†L381-L389】</x:v>
      </x:c>
      <x:c r="C83" s="17" t="str">
        <x:f>Ledger!C83</x:f>
        <x:v>AI &amp; software</x:v>
      </x:c>
      <x:c r="D83" s="17" t="str">
        <x:f>Ledger!G83</x:f>
        <x:v>~2020</x:v>
      </x:c>
      <x:c r="E83" s="17" t="str">
        <x:f>Ledger!Z83</x:f>
        <x:v>UNREVIEWED</x:v>
      </x:c>
      <x:c r="F83" s="17" t="str">
        <x:v>Source, deadline and outcome require review. See Ledger.</x:v>
      </x:c>
      <x:c r="G83" s="17" t="str">
        <x:f>IF(Ledger!AA83="","",Ledger!AA83)</x:f>
      </x:c>
      <x:c r="H83" s="17" t="str">
        <x:f>IF(Ledger!AB83="","",Ledger!AB83)</x:f>
      </x:c>
    </x:row>
    <x:row r="84" ht="78" customHeight="1">
      <x:c r="A84" s="17" t="str">
        <x:f>Ledger!A84</x:f>
        <x:v>EXE-019</x:v>
      </x:c>
      <x:c r="B84" s="17" t="str">
        <x:f>Ledger!B84</x:f>
        <x:v>“By mid-2020s an effective model of human intelligence via brain scanning”【22†L384-L387】</x:v>
      </x:c>
      <x:c r="C84" s="17" t="str">
        <x:f>Ledger!C84</x:f>
        <x:v>Neuroscience &amp; human augmentation</x:v>
      </x:c>
      <x:c r="D84" s="17" t="str">
        <x:f>Ledger!G84</x:f>
        <x:v>mid-2020s</x:v>
      </x:c>
      <x:c r="E84" s="17" t="str">
        <x:f>Ledger!Z84</x:f>
        <x:v>UNREVIEWED</x:v>
      </x:c>
      <x:c r="F84" s="17" t="str">
        <x:v>Source, deadline and outcome require review. See Ledger.</x:v>
      </x:c>
      <x:c r="G84" s="17" t="str">
        <x:f>IF(Ledger!AA84="","",Ledger!AA84)</x:f>
      </x:c>
      <x:c r="H84" s="17" t="str">
        <x:f>IF(Ledger!AB84="","",Ledger!AB84)</x:f>
      </x:c>
    </x:row>
    <x:row r="85" ht="78" customHeight="1">
      <x:c r="A85" s="17" t="str">
        <x:f>Ledger!A85</x:f>
        <x:v>EXE-020</x:v>
      </x:c>
      <x:c r="B85" s="17" t="str">
        <x:f>Ledger!B85</x:f>
        <x:v>“Computers will pass the Turing test by 2029”【22†L384-L387】【79†L692-L700】</x:v>
      </x:c>
      <x:c r="C85" s="17" t="str">
        <x:f>Ledger!C85</x:f>
        <x:v>AI &amp; software</x:v>
      </x:c>
      <x:c r="D85" s="17" t="str">
        <x:f>Ledger!G85</x:f>
        <x:v>2029</x:v>
      </x:c>
      <x:c r="E85" s="17" t="str">
        <x:f>Ledger!Z85</x:f>
        <x:v>UNREVIEWED</x:v>
      </x:c>
      <x:c r="F85" s="17" t="str">
        <x:v>Source, deadline and outcome require review. See Ledger.</x:v>
      </x:c>
      <x:c r="G85" s="17" t="str">
        <x:f>IF(Ledger!AA85="","",Ledger!AA85)</x:f>
      </x:c>
      <x:c r="H85" s="17" t="str">
        <x:f>IF(Ledger!AB85="","",Ledger!AB85)</x:f>
      </x:c>
    </x:row>
    <x:row r="86" ht="78" customHeight="1">
      <x:c r="A86" s="17" t="str">
        <x:f>Ledger!A86</x:f>
        <x:v>EXE-021</x:v>
      </x:c>
      <x:c r="B86" s="17" t="str">
        <x:f>Ledger!B86</x:f>
        <x:v>“By early 2030s, human and machine intelligence integrated” (hybrid intelligence)【79†L692-L700】</x:v>
      </x:c>
      <x:c r="C86" s="17" t="str">
        <x:f>Ledger!C86</x:f>
        <x:v>Neuroscience &amp; human augmentation</x:v>
      </x:c>
      <x:c r="D86" s="17" t="str">
        <x:f>Ledger!G86</x:f>
        <x:v>2030s</x:v>
      </x:c>
      <x:c r="E86" s="17" t="str">
        <x:f>Ledger!Z86</x:f>
        <x:v>UNREVIEWED</x:v>
      </x:c>
      <x:c r="F86" s="17" t="str">
        <x:v>Source, deadline and outcome require review. See Ledger.</x:v>
      </x:c>
      <x:c r="G86" s="17" t="str">
        <x:f>IF(Ledger!AA86="","",Ledger!AA86)</x:f>
      </x:c>
      <x:c r="H86" s="17" t="str">
        <x:f>IF(Ledger!AB86="","",Ledger!AB86)</x:f>
      </x:c>
    </x:row>
    <x:row r="87" ht="78" customHeight="1">
      <x:c r="A87" s="17" t="str">
        <x:f>Ledger!A87</x:f>
        <x:v>EXE-022</x:v>
      </x:c>
      <x:c r="B87" s="17" t="str">
        <x:f>Ledger!B87</x:f>
        <x:v>“It will take \$1,000 to equal 1000 human brains by 2029”【63†L392-L399】</x:v>
      </x:c>
      <x:c r="C87" s="17" t="str">
        <x:f>Ledger!C87</x:f>
        <x:v>AI &amp; software</x:v>
      </x:c>
      <x:c r="D87" s="17" t="str">
        <x:f>Ledger!G87</x:f>
        <x:v>2029</x:v>
      </x:c>
      <x:c r="E87" s="17" t="str">
        <x:f>Ledger!Z87</x:f>
        <x:v>UNREVIEWED</x:v>
      </x:c>
      <x:c r="F87" s="17" t="str">
        <x:v>Source, deadline and outcome require review. See Ledger.</x:v>
      </x:c>
      <x:c r="G87" s="17" t="str">
        <x:f>IF(Ledger!AA87="","",Ledger!AA87)</x:f>
      </x:c>
      <x:c r="H87" s="17" t="str">
        <x:f>IF(Ledger!AB87="","",Ledger!AB87)</x:f>
      </x:c>
    </x:row>
    <x:row r="88" ht="78" customHeight="1">
      <x:c r="A88" s="17" t="str">
        <x:f>Ledger!A88</x:f>
        <x:v>EXE-023</x:v>
      </x:c>
      <x:c r="B88" s="17" t="str">
        <x:f>Ledger!B88</x:f>
        <x:v>“Universal basic income in developed world by early 2030s, worldwide by late 2030s”【79†L624-L627】</x:v>
      </x:c>
      <x:c r="C88" s="17" t="str">
        <x:f>Ledger!C88</x:f>
        <x:v>Economy &amp; society</x:v>
      </x:c>
      <x:c r="D88" s="17" t="str">
        <x:f>Ledger!G88</x:f>
        <x:v>early 2030s</x:v>
      </x:c>
      <x:c r="E88" s="17" t="str">
        <x:f>Ledger!Z88</x:f>
        <x:v>UNREVIEWED</x:v>
      </x:c>
      <x:c r="F88" s="17" t="str">
        <x:v>Source, deadline and outcome require review. See Ledger.</x:v>
      </x:c>
      <x:c r="G88" s="17" t="str">
        <x:f>IF(Ledger!AA88="","",Ledger!AA88)</x:f>
      </x:c>
      <x:c r="H88" s="17" t="str">
        <x:f>IF(Ledger!AB88="","",Ledger!AB88)</x:f>
      </x:c>
    </x:row>
    <x:row r="89" ht="78" customHeight="1">
      <x:c r="A89" s="17" t="str">
        <x:f>Ledger!A89</x:f>
        <x:v>EXE-025</x:v>
      </x:c>
      <x:c r="B89" s="17" t="str">
        <x:f>Ledger!B89</x:f>
        <x:v>“During the 2020s, AI plus biotechnology will cure most chronic degenerative diseases”【24†L169-L174】</x:v>
      </x:c>
      <x:c r="C89" s="17" t="str">
        <x:f>Ledger!C89</x:f>
        <x:v>Biology &amp; medicine</x:v>
      </x:c>
      <x:c r="D89" s="17" t="str">
        <x:f>Ledger!G89</x:f>
        <x:v>2020s</x:v>
      </x:c>
      <x:c r="E89" s="17" t="str">
        <x:f>Ledger!Z89</x:f>
        <x:v>UNREVIEWED</x:v>
      </x:c>
      <x:c r="F89" s="17" t="str">
        <x:v>Source, deadline and outcome require review. See Ledger.</x:v>
      </x:c>
      <x:c r="G89" s="17" t="str">
        <x:f>IF(Ledger!AA89="","",Ledger!AA89)</x:f>
      </x:c>
      <x:c r="H89" s="17" t="str">
        <x:f>IF(Ledger!AB89="","",Ledger!AB89)</x:f>
      </x:c>
    </x:row>
    <x:row r="90" ht="78" customHeight="1">
      <x:c r="A90" s="17" t="str">
        <x:f>Ledger!A90</x:f>
        <x:v>EXE-026</x:v>
      </x:c>
      <x:c r="B90" s="17" t="str">
        <x:f>Ledger!B90</x:f>
        <x:v>“By the mid-2020s, AI can model the human mind; by 2030s life extenda” (implied continuation)</x:v>
      </x:c>
      <x:c r="C90" s="17" t="str">
        <x:f>Ledger!C90</x:f>
        <x:v>Longevity</x:v>
      </x:c>
      <x:c r="D90" s="17" t="str">
        <x:f>Ledger!G90</x:f>
        <x:v>2025–2035</x:v>
      </x:c>
      <x:c r="E90" s="17" t="str">
        <x:f>Ledger!Z90</x:f>
        <x:v>UNREVIEWED</x:v>
      </x:c>
      <x:c r="F90" s="17" t="str">
        <x:v>Source, deadline and outcome require review. See Ledger.</x:v>
      </x:c>
      <x:c r="G90" s="17" t="str">
        <x:f>IF(Ledger!AA90="","",Ledger!AA90)</x:f>
      </x:c>
      <x:c r="H90" s="17" t="str">
        <x:f>IF(Ledger!AB90="","",Ledger!AB90)</x:f>
      </x:c>
    </x:row>
    <x:row r="91" ht="78" customHeight="1">
      <x:c r="A91" s="17" t="str">
        <x:f>Ledger!A91</x:f>
        <x:v>EXE-028</x:v>
      </x:c>
      <x:c r="B91" s="17" t="str">
        <x:f>Ledger!B91</x:f>
        <x:v>“By 2045 the Singularity: computing power ~10^9× human brain, humans merged with machines”【24†L169-L174】【81†L537-L541】</x:v>
      </x:c>
      <x:c r="C91" s="17" t="str">
        <x:f>Ledger!C91</x:f>
        <x:v>AI &amp; software</x:v>
      </x:c>
      <x:c r="D91" s="17" t="str">
        <x:f>Ledger!G91</x:f>
        <x:v>2045</x:v>
      </x:c>
      <x:c r="E91" s="17" t="str">
        <x:f>Ledger!Z91</x:f>
        <x:v>UNREVIEWED</x:v>
      </x:c>
      <x:c r="F91" s="17" t="str">
        <x:v>Source, deadline and outcome require review. See Ledger.</x:v>
      </x:c>
      <x:c r="G91" s="17" t="str">
        <x:f>IF(Ledger!AA91="","",Ledger!AA91)</x:f>
      </x:c>
      <x:c r="H91" s="17" t="str">
        <x:f>IF(Ledger!AB91="","",Ledger!AB91)</x:f>
      </x:c>
    </x:row>
    <x:row r="92" ht="78" customHeight="1">
      <x:c r="A92" s="17" t="str">
        <x:f>Ledger!A92</x:f>
        <x:v>EXE-029</x:v>
      </x:c>
      <x:c r="B92" s="17" t="str">
        <x:f>Ledger!B92</x:f>
        <x:v>“By 2050 average human lifespan 150 years” (implied from interview claims)【19†L123-L130】</x:v>
      </x:c>
      <x:c r="C92" s="17" t="str">
        <x:f>Ledger!C92</x:f>
        <x:v>Longevity</x:v>
      </x:c>
      <x:c r="D92" s="17" t="str">
        <x:f>Ledger!G92</x:f>
        <x:v>2050</x:v>
      </x:c>
      <x:c r="E92" s="17" t="str">
        <x:f>Ledger!Z92</x:f>
        <x:v>UNREVIEWED</x:v>
      </x:c>
      <x:c r="F92" s="17" t="str">
        <x:v>Source, deadline and outcome require review. See Ledger.</x:v>
      </x:c>
      <x:c r="G92" s="17" t="str">
        <x:f>IF(Ledger!AA92="","",Ledger!AA92)</x:f>
      </x:c>
      <x:c r="H92" s="17" t="str">
        <x:f>IF(Ledger!AB92="","",Ledger!AB92)</x:f>
      </x:c>
    </x:row>
    <x:row r="93" ht="78" customHeight="1">
      <x:c r="A93" s="17" t="str">
        <x:f>Ledger!A93</x:f>
        <x:v>EXE-030</x:v>
      </x:c>
      <x:c r="B93" s="17" t="str">
        <x:f>Ledger!B93</x:f>
        <x:v>“By ~2030s, universal brain-computer interface and brain-uploading begin”【79†L692-L700】【81†L537-L541】</x:v>
      </x:c>
      <x:c r="C93" s="17" t="str">
        <x:f>Ledger!C93</x:f>
        <x:v>Neuroscience &amp; human augmentation</x:v>
      </x:c>
      <x:c r="D93" s="17" t="str">
        <x:f>Ledger!G93</x:f>
        <x:v>2030s</x:v>
      </x:c>
      <x:c r="E93" s="17" t="str">
        <x:f>Ledger!Z93</x:f>
        <x:v>UNREVIEWED</x:v>
      </x:c>
      <x:c r="F93" s="17" t="str">
        <x:v>Source, deadline and outcome require review. See Ledger.</x:v>
      </x:c>
      <x:c r="G93" s="17" t="str">
        <x:f>IF(Ledger!AA93="","",Ledger!AA93)</x:f>
      </x:c>
      <x:c r="H93" s="17" t="str">
        <x:f>IF(Ledger!AB93="","",Ledger!AB93)</x:f>
      </x:c>
    </x:row>
  </x:sheetData>
  <x:conditionalFormatting sqref="E6:E93">
    <x:cfRule type="expression" dxfId="0" priority="1">
      <x:formula>E6="CORRECT"</x:formula>
    </x:cfRule>
    <x:cfRule type="expression" dxfId="1" priority="2">
      <x:formula>E6="LATE"</x:formula>
    </x:cfRule>
    <x:cfRule type="expression" dxfId="2" priority="3">
      <x:formula>E6="PARTIAL"</x:formula>
    </x:cfRule>
    <x:cfRule type="expression" dxfId="3" priority="4">
      <x:formula>E6="WRONG / MISSED"</x:formula>
    </x:cfRule>
    <x:cfRule type="expression" dxfId="4" priority="5">
      <x:formula>E6="PENDING"</x:formula>
    </x:cfRule>
    <x:cfRule type="expression" dxfId="5" priority="6">
      <x:formula>E6="UNREVIEWED"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851cc6febf54476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40" hidden="0" customWidth="1"/>
    <x:col min="3" max="3" width="28" hidden="0" customWidth="1"/>
    <x:col min="4" max="4" width="25" hidden="0" customWidth="1"/>
    <x:col min="5" max="5" width="38" hidden="0" customWidth="1"/>
    <x:col min="6" max="6" width="16" hidden="0" customWidth="1"/>
    <x:col min="7" max="7" width="22" hidden="0" customWidth="1"/>
    <x:col min="8" max="8" width="16" hidden="0" customWidth="1"/>
    <x:col min="9" max="9" width="20" hidden="0" customWidth="1"/>
    <x:col min="10" max="10" width="20" hidden="0" customWidth="1"/>
    <x:col min="11" max="11" width="17" hidden="0" customWidth="1"/>
    <x:col min="12" max="12" width="13" hidden="0" customWidth="1"/>
    <x:col min="13" max="13" width="20" hidden="0" customWidth="1"/>
    <x:col min="14" max="14" width="16" hidden="0" customWidth="1"/>
    <x:col min="15" max="15" width="18" hidden="0" customWidth="1"/>
    <x:col min="16" max="16" width="18" hidden="0" customWidth="1"/>
    <x:col min="17" max="17" width="38" hidden="0" customWidth="1"/>
    <x:col min="18" max="18" width="25" hidden="0" customWidth="1"/>
    <x:col min="19" max="19" width="38" hidden="0" customWidth="1"/>
    <x:col min="20" max="20" width="40" hidden="0" customWidth="1"/>
    <x:col min="21" max="21" width="18" hidden="0" customWidth="1"/>
    <x:col min="22" max="22" width="28" hidden="0" customWidth="1"/>
    <x:col min="23" max="23" width="25" hidden="0" customWidth="1"/>
    <x:col min="24" max="24" width="40" hidden="0" customWidth="1"/>
    <x:col min="25" max="25" width="16" hidden="0" customWidth="1"/>
    <x:col min="26" max="26" width="19" hidden="0" customWidth="1"/>
    <x:col min="27" max="27" width="14" hidden="0" customWidth="1"/>
    <x:col min="28" max="28" width="14" hidden="0" customWidth="1"/>
    <x:col min="29" max="29" width="15" hidden="0" customWidth="1"/>
    <x:col min="30" max="30" width="16" hidden="0" customWidth="1"/>
    <x:col min="31" max="31" width="18" hidden="0" customWidth="1"/>
    <x:col min="32" max="32" width="18" hidden="0" customWidth="1"/>
  </x:cols>
  <x:sheetData>
    <x:row r="1" ht="32" customHeight="1">
      <x:c r="A1" s="58" t="str">
        <x:v>LEDGER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</x:row>
    <x:row r="3" ht="34" customHeight="1">
      <x:c r="A3" s="60" t="str">
        <x:v>88 legacy candidate rows; duplicates retained. No row is yet admitted to the verified statistical sample.</x:v>
      </x:c>
      <x:c r="B3" s="25"/>
      <x:c r="C3" s="25"/>
      <x:c r="D3" s="25"/>
      <x:c r="E3" s="25"/>
      <x:c r="F3" s="25"/>
      <x:c r="G3" s="25"/>
      <x:c r="H3" s="25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  <x:c r="AF4" s="4"/>
    </x:row>
    <x:row r="5" ht="32" customHeight="1">
      <x:c r="A5" s="12" t="str">
        <x:v>Record ID</x:v>
      </x:c>
      <x:c r="B5" s="12" t="str">
        <x:v>Prediction — imported lead</x:v>
      </x:c>
      <x:c r="C5" s="12" t="str">
        <x:v>Primary category — draft</x:v>
      </x:c>
      <x:c r="D5" s="12" t="str">
        <x:v>Subcategory / secondary tags</x:v>
      </x:c>
      <x:c r="E5" s="12" t="str">
        <x:v>Claimed source — legacy</x:v>
      </x:c>
      <x:c r="F5" s="12" t="str">
        <x:v>Source year — unconfirmed</x:v>
      </x:c>
      <x:c r="G5" s="12" t="str">
        <x:v>Target text — legacy</x:v>
      </x:c>
      <x:c r="H5" s="12" t="str">
        <x:v>Confirmed deadline year</x:v>
      </x:c>
      <x:c r="I5" s="12" t="str">
        <x:v>At-deadline outcome</x:v>
      </x:c>
      <x:c r="J5" s="12" t="str">
        <x:v>Outcome at review</x:v>
      </x:c>
      <x:c r="K5" s="12" t="str">
        <x:v>First full-achievement year</x:v>
      </x:c>
      <x:c r="L5" s="12" t="str">
        <x:v>Review year</x:v>
      </x:c>
      <x:c r="M5" s="12" t="str">
        <x:v>Review state</x:v>
      </x:c>
      <x:c r="N5" s="12" t="str">
        <x:v>Canonical for statistics?</x:v>
      </x:c>
      <x:c r="O5" s="12" t="str">
        <x:v>Forecast family ID</x:v>
      </x:c>
      <x:c r="P5" s="12" t="str">
        <x:v>Parent statement ID</x:v>
      </x:c>
      <x:c r="Q5" s="12" t="str">
        <x:v>Prediction source URL</x:v>
      </x:c>
      <x:c r="R5" s="12" t="str">
        <x:v>Page / paragraph / timestamp</x:v>
      </x:c>
      <x:c r="S5" s="12" t="str">
        <x:v>Outcome evidence URLs</x:v>
      </x:c>
      <x:c r="T5" s="12" t="str">
        <x:v>Success criteria / scope</x:v>
      </x:c>
      <x:c r="U5" s="12" t="str">
        <x:v>Original wording checked?</x:v>
      </x:c>
      <x:c r="V5" s="12" t="str">
        <x:v>Adoption stage / claim type</x:v>
      </x:c>
      <x:c r="W5" s="12" t="str">
        <x:v>Date precision / target interval</x:v>
      </x:c>
      <x:c r="X5" s="12" t="str">
        <x:v>Review notes</x:v>
      </x:c>
      <x:c r="Y5" s="12" t="str">
        <x:v>Legacy import ID</x:v>
      </x:c>
      <x:c r="Z5" s="12" t="str">
        <x:v>Display status</x:v>
      </x:c>
      <x:c r="AA5" s="12" t="str">
        <x:v>Drift — years</x:v>
      </x:c>
      <x:c r="AB5" s="12" t="str">
        <x:v>Overdue — years</x:v>
      </x:c>
      <x:c r="AC5" s="12" t="str">
        <x:v>Due and eligible</x:v>
      </x:c>
      <x:c r="AD5" s="12" t="str">
        <x:v>On-time full hit</x:v>
      </x:c>
      <x:c r="AE5" s="12" t="str">
        <x:v>Full realization hit</x:v>
      </x:c>
      <x:c r="AF5" s="12" t="str">
        <x:v>Publication year confirmed</x:v>
      </x:c>
    </x:row>
    <x:row r="6" ht="58" customHeight="1">
      <x:c r="A6" s="17" t="str">
        <x:v>AUD-001</x:v>
      </x:c>
      <x:c r="B6" s="17" t="str">
        <x:v>Computer will defeat world chess champion by 1998.</x:v>
      </x:c>
      <x:c r="C6" s="17" t="str">
        <x:v>AI &amp; software</x:v>
      </x:c>
      <x:c r="D6" s="17" t="str">
        <x:v>AI/Games</x:v>
      </x:c>
      <x:c r="E6" s="17" t="str">
        <x:v>*Age of Intelligent Machines* (1990)</x:v>
      </x:c>
      <x:c r="F6" s="17" t="n">
        <x:v>1990</x:v>
      </x:c>
      <x:c r="G6" s="17" t="str">
        <x:v>1998</x:v>
      </x:c>
      <x:c r="H6" s="20"/>
      <x:c r="I6" s="17" t="str">
        <x:v>UNREVIEWED</x:v>
      </x:c>
      <x:c r="J6" s="17" t="str">
        <x:v>UNREVIEWED</x:v>
      </x:c>
      <x:c r="K6" s="20"/>
      <x:c r="L6" s="20" t="n">
        <x:v>2026</x:v>
      </x:c>
      <x:c r="M6" s="17" t="str">
        <x:v>UNREVIEWED</x:v>
      </x:c>
      <x:c r="N6" s="17" t="str">
        <x:v>NO</x:v>
      </x:c>
      <x:c r="O6" s="17"/>
      <x:c r="P6" s="17" t="str">
        <x:v>AUD-001</x:v>
      </x:c>
      <x:c r="Q6" s="17"/>
      <x:c r="R6" s="17"/>
      <x:c r="S6" s="17"/>
      <x:c r="T6" s="17"/>
      <x:c r="U6" s="17" t="str">
        <x:v>NO</x:v>
      </x:c>
      <x:c r="V6" s="17"/>
      <x:c r="W6" s="17"/>
      <x:c r="X6" s="17" t="str">
        <x:v>Imported research lead only. Verify attribution, deadline, scope and outcome; do not inherit the legacy score. Draft category needs review. Legacy quote says 2000 but normalized deadline says 1998; resolve against the original edition.</x:v>
      </x:c>
      <x:c r="Y6" s="17" t="str">
        <x:v>AUD-001</x:v>
      </x:c>
      <x:c r="Z6" s="17" t="str">
        <x:f>IF(A6="","",IF(M6="EXCLUDED","EXCLUDED",IF(M6&lt;&gt;"VERIFIED","UNREVIEWED",IF(OR(H6="",I6="UNASSESSABLE",J6="UNASSESSABLE"),"UNSCORABLE",IF(H6&gt;=L6,IF(J6="FULL","CORRECT","PENDING"),IF(I6="FULL","CORRECT",IF(J6="FULL","LATE",IF(OR(I6="PARTIAL",J6="PARTIAL"),"PARTIAL","WRONG / MISSED"))))))))</x:f>
        <x:v>UNREVIEWED</x:v>
      </x:c>
      <x:c r="AA6" s="17" t="str">
        <x:f>IF(OR(A6="",M6&lt;&gt;"VERIFIED",H6="",K6="",J6&lt;&gt;"FULL"),"",K6-H6)</x:f>
      </x:c>
      <x:c r="AB6" s="17" t="str">
        <x:f>IF(OR(A6="",M6&lt;&gt;"VERIFIED",H6="",H6&gt;=L6,J6="FULL",J6="UNASSESSABLE"),"",L6-H6)</x:f>
      </x:c>
      <x:c r="AC6" s="17" t="n">
        <x:f>IF(AND(A6&lt;&gt;"",M6="VERIFIED",N6="YES",H6&lt;&gt;"",H6&lt;L6,I6&lt;&gt;"UNASSESSABLE",I6&lt;&gt;"UNREVIEWED",I6&lt;&gt;"NOT_DUE"),1,0)</x:f>
        <x:v>0</x:v>
      </x:c>
      <x:c r="AD6" s="17" t="n">
        <x:f>IF(AND(AC6=1,I6="FULL"),1,0)</x:f>
        <x:v>0</x:v>
      </x:c>
      <x:c r="AE6" s="17" t="n">
        <x:f>IF(AND(AC6=1,OR(I6="FULL",J6="FULL")),1,0)</x:f>
        <x:v>0</x:v>
      </x:c>
      <x:c r="AF6" s="20"/>
    </x:row>
    <x:row r="7" ht="58" customHeight="1">
      <x:c r="A7" s="17" t="str">
        <x:v>AUD-002</x:v>
      </x:c>
      <x:c r="B7" s="17" t="str">
        <x:v>Global Internet will connect everyone to information.</x:v>
      </x:c>
      <x:c r="C7" s="17" t="str">
        <x:v>Networks &amp; communications</x:v>
      </x:c>
      <x:c r="D7" s="17" t="str">
        <x:v>Computing/Internet</x:v>
      </x:c>
      <x:c r="E7" s="17" t="str">
        <x:v>*Age of Intelligent Machines* (1990)</x:v>
      </x:c>
      <x:c r="F7" s="17" t="n">
        <x:v>1990</x:v>
      </x:c>
      <x:c r="G7" s="17" t="str">
        <x:v>(unspecified)</x:v>
      </x:c>
      <x:c r="H7" s="20"/>
      <x:c r="I7" s="17" t="str">
        <x:v>UNREVIEWED</x:v>
      </x:c>
      <x:c r="J7" s="17" t="str">
        <x:v>UNREVIEWED</x:v>
      </x:c>
      <x:c r="K7" s="20"/>
      <x:c r="L7" s="20" t="n">
        <x:v>2026</x:v>
      </x:c>
      <x:c r="M7" s="17" t="str">
        <x:v>UNREVIEWED</x:v>
      </x:c>
      <x:c r="N7" s="17" t="str">
        <x:v>NO</x:v>
      </x:c>
      <x:c r="O7" s="17"/>
      <x:c r="P7" s="17" t="str">
        <x:v>AUD-002</x:v>
      </x:c>
      <x:c r="Q7" s="17"/>
      <x:c r="R7" s="17"/>
      <x:c r="S7" s="17"/>
      <x:c r="T7" s="17"/>
      <x:c r="U7" s="17" t="str">
        <x:v>NO</x:v>
      </x:c>
      <x:c r="V7" s="17"/>
      <x:c r="W7" s="17"/>
      <x:c r="X7" s="17" t="str">
        <x:v>Imported research lead only. Verify attribution, deadline, scope and outcome; do not inherit the legacy score. Draft category needs review.</x:v>
      </x:c>
      <x:c r="Y7" s="17" t="str">
        <x:v>AUD-002</x:v>
      </x:c>
      <x:c r="Z7" s="17" t="str">
        <x:f>IF(A7="","",IF(M7="EXCLUDED","EXCLUDED",IF(M7&lt;&gt;"VERIFIED","UNREVIEWED",IF(OR(H7="",I7="UNASSESSABLE",J7="UNASSESSABLE"),"UNSCORABLE",IF(H7&gt;=L7,IF(J7="FULL","CORRECT","PENDING"),IF(I7="FULL","CORRECT",IF(J7="FULL","LATE",IF(OR(I7="PARTIAL",J7="PARTIAL"),"PARTIAL","WRONG / MISSED"))))))))</x:f>
        <x:v>UNREVIEWED</x:v>
      </x:c>
      <x:c r="AA7" s="17" t="str">
        <x:f>IF(OR(A7="",M7&lt;&gt;"VERIFIED",H7="",K7="",J7&lt;&gt;"FULL"),"",K7-H7)</x:f>
      </x:c>
      <x:c r="AB7" s="17" t="str">
        <x:f>IF(OR(A7="",M7&lt;&gt;"VERIFIED",H7="",H7&gt;=L7,J7="FULL",J7="UNASSESSABLE"),"",L7-H7)</x:f>
      </x:c>
      <x:c r="AC7" s="17" t="n">
        <x:f>IF(AND(A7&lt;&gt;"",M7="VERIFIED",N7="YES",H7&lt;&gt;"",H7&lt;L7,I7&lt;&gt;"UNASSESSABLE",I7&lt;&gt;"UNREVIEWED",I7&lt;&gt;"NOT_DUE"),1,0)</x:f>
        <x:v>0</x:v>
      </x:c>
      <x:c r="AD7" s="17" t="n">
        <x:f>IF(AND(AC7=1,I7="FULL"),1,0)</x:f>
        <x:v>0</x:v>
      </x:c>
      <x:c r="AE7" s="17" t="n">
        <x:f>IF(AND(AC7=1,OR(I7="FULL",J7="FULL")),1,0)</x:f>
        <x:v>0</x:v>
      </x:c>
      <x:c r="AF7" s="20"/>
    </x:row>
    <x:row r="8" ht="58" customHeight="1">
      <x:c r="A8" s="17" t="str">
        <x:v>AUD-003</x:v>
      </x:c>
      <x:c r="B8" s="17" t="str">
        <x:v>Communication tech will democratize society and contribute to the USSR’s collapse.</x:v>
      </x:c>
      <x:c r="C8" s="17" t="str">
        <x:v>Economy &amp; society</x:v>
      </x:c>
      <x:c r="D8" s="17" t="str">
        <x:v>Society/Politics</x:v>
      </x:c>
      <x:c r="E8" s="17" t="str">
        <x:v>*Age of Intelligent Machines* (1990)</x:v>
      </x:c>
      <x:c r="F8" s="17" t="n">
        <x:v>1990</x:v>
      </x:c>
      <x:c r="G8" s="17" t="str">
        <x:v>~1990s</x:v>
      </x:c>
      <x:c r="H8" s="20"/>
      <x:c r="I8" s="17" t="str">
        <x:v>UNREVIEWED</x:v>
      </x:c>
      <x:c r="J8" s="17" t="str">
        <x:v>UNREVIEWED</x:v>
      </x:c>
      <x:c r="K8" s="20"/>
      <x:c r="L8" s="20" t="n">
        <x:v>2026</x:v>
      </x:c>
      <x:c r="M8" s="17" t="str">
        <x:v>UNREVIEWED</x:v>
      </x:c>
      <x:c r="N8" s="17" t="str">
        <x:v>NO</x:v>
      </x:c>
      <x:c r="O8" s="17"/>
      <x:c r="P8" s="17" t="str">
        <x:v>AUD-003</x:v>
      </x:c>
      <x:c r="Q8" s="17"/>
      <x:c r="R8" s="17"/>
      <x:c r="S8" s="17"/>
      <x:c r="T8" s="17"/>
      <x:c r="U8" s="17" t="str">
        <x:v>NO</x:v>
      </x:c>
      <x:c r="V8" s="17"/>
      <x:c r="W8" s="17"/>
      <x:c r="X8" s="17" t="str">
        <x:v>Imported research lead only. Verify attribution, deadline, scope and outcome; do not inherit the legacy score. Draft category needs review.</x:v>
      </x:c>
      <x:c r="Y8" s="17" t="str">
        <x:v>AUD-003</x:v>
      </x:c>
      <x:c r="Z8" s="17" t="str">
        <x:f>IF(A8="","",IF(M8="EXCLUDED","EXCLUDED",IF(M8&lt;&gt;"VERIFIED","UNREVIEWED",IF(OR(H8="",I8="UNASSESSABLE",J8="UNASSESSABLE"),"UNSCORABLE",IF(H8&gt;=L8,IF(J8="FULL","CORRECT","PENDING"),IF(I8="FULL","CORRECT",IF(J8="FULL","LATE",IF(OR(I8="PARTIAL",J8="PARTIAL"),"PARTIAL","WRONG / MISSED"))))))))</x:f>
        <x:v>UNREVIEWED</x:v>
      </x:c>
      <x:c r="AA8" s="17" t="str">
        <x:f>IF(OR(A8="",M8&lt;&gt;"VERIFIED",H8="",K8="",J8&lt;&gt;"FULL"),"",K8-H8)</x:f>
      </x:c>
      <x:c r="AB8" s="17" t="str">
        <x:f>IF(OR(A8="",M8&lt;&gt;"VERIFIED",H8="",H8&gt;=L8,J8="FULL",J8="UNASSESSABLE"),"",L8-H8)</x:f>
      </x:c>
      <x:c r="AC8" s="17" t="n">
        <x:f>IF(AND(A8&lt;&gt;"",M8="VERIFIED",N8="YES",H8&lt;&gt;"",H8&lt;L8,I8&lt;&gt;"UNASSESSABLE",I8&lt;&gt;"UNREVIEWED",I8&lt;&gt;"NOT_DUE"),1,0)</x:f>
        <x:v>0</x:v>
      </x:c>
      <x:c r="AD8" s="17" t="n">
        <x:f>IF(AND(AC8=1,I8="FULL"),1,0)</x:f>
        <x:v>0</x:v>
      </x:c>
      <x:c r="AE8" s="17" t="n">
        <x:f>IF(AND(AC8=1,OR(I8="FULL",J8="FULL")),1,0)</x:f>
        <x:v>0</x:v>
      </x:c>
      <x:c r="AF8" s="20"/>
    </x:row>
    <x:row r="9" ht="58" customHeight="1">
      <x:c r="A9" s="17" t="str">
        <x:v>AUD-004</x:v>
      </x:c>
      <x:c r="B9" s="17" t="str">
        <x:v>Portable computers will be much lighter/thinner by ~2010.</x:v>
      </x:c>
      <x:c r="C9" s="17" t="str">
        <x:v>Computing hardware</x:v>
      </x:c>
      <x:c r="D9" s="17" t="str">
        <x:v>Computing/Hardware</x:v>
      </x:c>
      <x:c r="E9" s="17" t="str">
        <x:v>*Age of Spiritual Machines* (1999)</x:v>
      </x:c>
      <x:c r="F9" s="17" t="n">
        <x:v>1999</x:v>
      </x:c>
      <x:c r="G9" s="17" t="str">
        <x:v>2009</x:v>
      </x:c>
      <x:c r="H9" s="20"/>
      <x:c r="I9" s="17" t="str">
        <x:v>UNREVIEWED</x:v>
      </x:c>
      <x:c r="J9" s="17" t="str">
        <x:v>UNREVIEWED</x:v>
      </x:c>
      <x:c r="K9" s="20"/>
      <x:c r="L9" s="20" t="n">
        <x:v>2026</x:v>
      </x:c>
      <x:c r="M9" s="17" t="str">
        <x:v>UNREVIEWED</x:v>
      </x:c>
      <x:c r="N9" s="17" t="str">
        <x:v>NO</x:v>
      </x:c>
      <x:c r="O9" s="17"/>
      <x:c r="P9" s="17" t="str">
        <x:v>AUD-004</x:v>
      </x:c>
      <x:c r="Q9" s="17"/>
      <x:c r="R9" s="17"/>
      <x:c r="S9" s="17"/>
      <x:c r="T9" s="17"/>
      <x:c r="U9" s="17" t="str">
        <x:v>NO</x:v>
      </x:c>
      <x:c r="V9" s="17"/>
      <x:c r="W9" s="17"/>
      <x:c r="X9" s="17" t="str">
        <x:v>Imported research lead only. Verify attribution, deadline, scope and outcome; do not inherit the legacy score. Draft category needs review.</x:v>
      </x:c>
      <x:c r="Y9" s="17" t="str">
        <x:v>AUD-004</x:v>
      </x:c>
      <x:c r="Z9" s="17" t="str">
        <x:f>IF(A9="","",IF(M9="EXCLUDED","EXCLUDED",IF(M9&lt;&gt;"VERIFIED","UNREVIEWED",IF(OR(H9="",I9="UNASSESSABLE",J9="UNASSESSABLE"),"UNSCORABLE",IF(H9&gt;=L9,IF(J9="FULL","CORRECT","PENDING"),IF(I9="FULL","CORRECT",IF(J9="FULL","LATE",IF(OR(I9="PARTIAL",J9="PARTIAL"),"PARTIAL","WRONG / MISSED"))))))))</x:f>
        <x:v>UNREVIEWED</x:v>
      </x:c>
      <x:c r="AA9" s="17" t="str">
        <x:f>IF(OR(A9="",M9&lt;&gt;"VERIFIED",H9="",K9="",J9&lt;&gt;"FULL"),"",K9-H9)</x:f>
      </x:c>
      <x:c r="AB9" s="17" t="str">
        <x:f>IF(OR(A9="",M9&lt;&gt;"VERIFIED",H9="",H9&gt;=L9,J9="FULL",J9="UNASSESSABLE"),"",L9-H9)</x:f>
      </x:c>
      <x:c r="AC9" s="17" t="n">
        <x:f>IF(AND(A9&lt;&gt;"",M9="VERIFIED",N9="YES",H9&lt;&gt;"",H9&lt;L9,I9&lt;&gt;"UNASSESSABLE",I9&lt;&gt;"UNREVIEWED",I9&lt;&gt;"NOT_DUE"),1,0)</x:f>
        <x:v>0</x:v>
      </x:c>
      <x:c r="AD9" s="17" t="n">
        <x:f>IF(AND(AC9=1,I9="FULL"),1,0)</x:f>
        <x:v>0</x:v>
      </x:c>
      <x:c r="AE9" s="17" t="n">
        <x:f>IF(AND(AC9=1,OR(I9="FULL",J9="FULL")),1,0)</x:f>
        <x:v>0</x:v>
      </x:c>
      <x:c r="AF9" s="20"/>
    </x:row>
    <x:row r="10" ht="58" customHeight="1">
      <x:c r="A10" s="17" t="str">
        <x:v>AUD-005</x:v>
      </x:c>
      <x:c r="B10" s="17" t="str">
        <x:v>Computers will be embedded in clothing and personal accessories by 2010.</x:v>
      </x:c>
      <x:c r="C10" s="17" t="str">
        <x:v>Computing hardware</x:v>
      </x:c>
      <x:c r="D10" s="17" t="str">
        <x:v>Computing/Hardware</x:v>
      </x:c>
      <x:c r="E10" s="17" t="str">
        <x:v>*Age of Spiritual Machines* (1999)</x:v>
      </x:c>
      <x:c r="F10" s="17" t="n">
        <x:v>1999</x:v>
      </x:c>
      <x:c r="G10" s="17" t="str">
        <x:v>2009</x:v>
      </x:c>
      <x:c r="H10" s="20"/>
      <x:c r="I10" s="17" t="str">
        <x:v>UNREVIEWED</x:v>
      </x:c>
      <x:c r="J10" s="17" t="str">
        <x:v>UNREVIEWED</x:v>
      </x:c>
      <x:c r="K10" s="20"/>
      <x:c r="L10" s="20" t="n">
        <x:v>2026</x:v>
      </x:c>
      <x:c r="M10" s="17" t="str">
        <x:v>UNREVIEWED</x:v>
      </x:c>
      <x:c r="N10" s="17" t="str">
        <x:v>NO</x:v>
      </x:c>
      <x:c r="O10" s="17"/>
      <x:c r="P10" s="17" t="str">
        <x:v>AUD-005</x:v>
      </x:c>
      <x:c r="Q10" s="17"/>
      <x:c r="R10" s="17"/>
      <x:c r="S10" s="17"/>
      <x:c r="T10" s="17"/>
      <x:c r="U10" s="17" t="str">
        <x:v>NO</x:v>
      </x:c>
      <x:c r="V10" s="17"/>
      <x:c r="W10" s="17"/>
      <x:c r="X10" s="17" t="str">
        <x:v>Imported research lead only. Verify attribution, deadline, scope and outcome; do not inherit the legacy score. Draft category needs review.</x:v>
      </x:c>
      <x:c r="Y10" s="17" t="str">
        <x:v>AUD-005</x:v>
      </x:c>
      <x:c r="Z10" s="17" t="str">
        <x:f>IF(A10="","",IF(M10="EXCLUDED","EXCLUDED",IF(M10&lt;&gt;"VERIFIED","UNREVIEWED",IF(OR(H10="",I10="UNASSESSABLE",J10="UNASSESSABLE"),"UNSCORABLE",IF(H10&gt;=L10,IF(J10="FULL","CORRECT","PENDING"),IF(I10="FULL","CORRECT",IF(J10="FULL","LATE",IF(OR(I10="PARTIAL",J10="PARTIAL"),"PARTIAL","WRONG / MISSED"))))))))</x:f>
        <x:v>UNREVIEWED</x:v>
      </x:c>
      <x:c r="AA10" s="17" t="str">
        <x:f>IF(OR(A10="",M10&lt;&gt;"VERIFIED",H10="",K10="",J10&lt;&gt;"FULL"),"",K10-H10)</x:f>
      </x:c>
      <x:c r="AB10" s="17" t="str">
        <x:f>IF(OR(A10="",M10&lt;&gt;"VERIFIED",H10="",H10&gt;=L10,J10="FULL",J10="UNASSESSABLE"),"",L10-H10)</x:f>
      </x:c>
      <x:c r="AC10" s="17" t="n">
        <x:f>IF(AND(A10&lt;&gt;"",M10="VERIFIED",N10="YES",H10&lt;&gt;"",H10&lt;L10,I10&lt;&gt;"UNASSESSABLE",I10&lt;&gt;"UNREVIEWED",I10&lt;&gt;"NOT_DUE"),1,0)</x:f>
        <x:v>0</x:v>
      </x:c>
      <x:c r="AD10" s="17" t="n">
        <x:f>IF(AND(AC10=1,I10="FULL"),1,0)</x:f>
        <x:v>0</x:v>
      </x:c>
      <x:c r="AE10" s="17" t="n">
        <x:f>IF(AND(AC10=1,OR(I10="FULL",J10="FULL")),1,0)</x:f>
        <x:v>0</x:v>
      </x:c>
      <x:c r="AF10" s="20"/>
    </x:row>
    <x:row r="11" ht="58" customHeight="1">
      <x:c r="A11" s="17" t="str">
        <x:v>AUD-006</x:v>
      </x:c>
      <x:c r="B11" s="17" t="str">
        <x:v>People will carry many networked devices (body LANs) by 2009.</x:v>
      </x:c>
      <x:c r="C11" s="17" t="str">
        <x:v>Computing hardware</x:v>
      </x:c>
      <x:c r="D11" s="17" t="str">
        <x:v>Computing/Hardware</x:v>
      </x:c>
      <x:c r="E11" s="17" t="str">
        <x:v>*Age of Spiritual Machines* (1999)</x:v>
      </x:c>
      <x:c r="F11" s="17" t="n">
        <x:v>1999</x:v>
      </x:c>
      <x:c r="G11" s="17" t="str">
        <x:v>2009</x:v>
      </x:c>
      <x:c r="H11" s="20"/>
      <x:c r="I11" s="17" t="str">
        <x:v>UNREVIEWED</x:v>
      </x:c>
      <x:c r="J11" s="17" t="str">
        <x:v>UNREVIEWED</x:v>
      </x:c>
      <x:c r="K11" s="20"/>
      <x:c r="L11" s="20" t="n">
        <x:v>2026</x:v>
      </x:c>
      <x:c r="M11" s="17" t="str">
        <x:v>UNREVIEWED</x:v>
      </x:c>
      <x:c r="N11" s="17" t="str">
        <x:v>NO</x:v>
      </x:c>
      <x:c r="O11" s="17"/>
      <x:c r="P11" s="17" t="str">
        <x:v>AUD-006</x:v>
      </x:c>
      <x:c r="Q11" s="17"/>
      <x:c r="R11" s="17"/>
      <x:c r="S11" s="17"/>
      <x:c r="T11" s="17"/>
      <x:c r="U11" s="17" t="str">
        <x:v>NO</x:v>
      </x:c>
      <x:c r="V11" s="17"/>
      <x:c r="W11" s="17"/>
      <x:c r="X11" s="17" t="str">
        <x:v>Imported research lead only. Verify attribution, deadline, scope and outcome; do not inherit the legacy score. Draft category needs review.</x:v>
      </x:c>
      <x:c r="Y11" s="17" t="str">
        <x:v>AUD-006</x:v>
      </x:c>
      <x:c r="Z11" s="17" t="str">
        <x:f>IF(A11="","",IF(M11="EXCLUDED","EXCLUDED",IF(M11&lt;&gt;"VERIFIED","UNREVIEWED",IF(OR(H11="",I11="UNASSESSABLE",J11="UNASSESSABLE"),"UNSCORABLE",IF(H11&gt;=L11,IF(J11="FULL","CORRECT","PENDING"),IF(I11="FULL","CORRECT",IF(J11="FULL","LATE",IF(OR(I11="PARTIAL",J11="PARTIAL"),"PARTIAL","WRONG / MISSED"))))))))</x:f>
        <x:v>UNREVIEWED</x:v>
      </x:c>
      <x:c r="AA11" s="17" t="str">
        <x:f>IF(OR(A11="",M11&lt;&gt;"VERIFIED",H11="",K11="",J11&lt;&gt;"FULL"),"",K11-H11)</x:f>
      </x:c>
      <x:c r="AB11" s="17" t="str">
        <x:f>IF(OR(A11="",M11&lt;&gt;"VERIFIED",H11="",H11&gt;=L11,J11="FULL",J11="UNASSESSABLE"),"",L11-H11)</x:f>
      </x:c>
      <x:c r="AC11" s="17" t="n">
        <x:f>IF(AND(A11&lt;&gt;"",M11="VERIFIED",N11="YES",H11&lt;&gt;"",H11&lt;L11,I11&lt;&gt;"UNASSESSABLE",I11&lt;&gt;"UNREVIEWED",I11&lt;&gt;"NOT_DUE"),1,0)</x:f>
        <x:v>0</x:v>
      </x:c>
      <x:c r="AD11" s="17" t="n">
        <x:f>IF(AND(AC11=1,I11="FULL"),1,0)</x:f>
        <x:v>0</x:v>
      </x:c>
      <x:c r="AE11" s="17" t="n">
        <x:f>IF(AND(AC11=1,OR(I11="FULL",J11="FULL")),1,0)</x:f>
        <x:v>0</x:v>
      </x:c>
      <x:c r="AF11" s="20"/>
    </x:row>
    <x:row r="12" ht="58" customHeight="1">
      <x:c r="A12" s="17" t="str">
        <x:v>AUD-007</x:v>
      </x:c>
      <x:c r="B12" s="17" t="str">
        <x:v>Personal devices will be solid-state (no moving parts) by 2009.</x:v>
      </x:c>
      <x:c r="C12" s="17" t="str">
        <x:v>Computing hardware</x:v>
      </x:c>
      <x:c r="D12" s="17" t="str">
        <x:v>Computing/Hardware</x:v>
      </x:c>
      <x:c r="E12" s="17" t="str">
        <x:v>*Age of Spiritual Machines* (1999)</x:v>
      </x:c>
      <x:c r="F12" s="17" t="n">
        <x:v>1999</x:v>
      </x:c>
      <x:c r="G12" s="17" t="str">
        <x:v>2009</x:v>
      </x:c>
      <x:c r="H12" s="20"/>
      <x:c r="I12" s="17" t="str">
        <x:v>UNREVIEWED</x:v>
      </x:c>
      <x:c r="J12" s="17" t="str">
        <x:v>UNREVIEWED</x:v>
      </x:c>
      <x:c r="K12" s="20"/>
      <x:c r="L12" s="20" t="n">
        <x:v>2026</x:v>
      </x:c>
      <x:c r="M12" s="17" t="str">
        <x:v>UNREVIEWED</x:v>
      </x:c>
      <x:c r="N12" s="17" t="str">
        <x:v>NO</x:v>
      </x:c>
      <x:c r="O12" s="17"/>
      <x:c r="P12" s="17" t="str">
        <x:v>AUD-007</x:v>
      </x:c>
      <x:c r="Q12" s="17"/>
      <x:c r="R12" s="17"/>
      <x:c r="S12" s="17"/>
      <x:c r="T12" s="17"/>
      <x:c r="U12" s="17" t="str">
        <x:v>NO</x:v>
      </x:c>
      <x:c r="V12" s="17"/>
      <x:c r="W12" s="17"/>
      <x:c r="X12" s="17" t="str">
        <x:v>Imported research lead only. Verify attribution, deadline, scope and outcome; do not inherit the legacy score. Draft category needs review.</x:v>
      </x:c>
      <x:c r="Y12" s="17" t="str">
        <x:v>AUD-007</x:v>
      </x:c>
      <x:c r="Z12" s="17" t="str">
        <x:f>IF(A12="","",IF(M12="EXCLUDED","EXCLUDED",IF(M12&lt;&gt;"VERIFIED","UNREVIEWED",IF(OR(H12="",I12="UNASSESSABLE",J12="UNASSESSABLE"),"UNSCORABLE",IF(H12&gt;=L12,IF(J12="FULL","CORRECT","PENDING"),IF(I12="FULL","CORRECT",IF(J12="FULL","LATE",IF(OR(I12="PARTIAL",J12="PARTIAL"),"PARTIAL","WRONG / MISSED"))))))))</x:f>
        <x:v>UNREVIEWED</x:v>
      </x:c>
      <x:c r="AA12" s="17" t="str">
        <x:f>IF(OR(A12="",M12&lt;&gt;"VERIFIED",H12="",K12="",J12&lt;&gt;"FULL"),"",K12-H12)</x:f>
      </x:c>
      <x:c r="AB12" s="17" t="str">
        <x:f>IF(OR(A12="",M12&lt;&gt;"VERIFIED",H12="",H12&gt;=L12,J12="FULL",J12="UNASSESSABLE"),"",L12-H12)</x:f>
      </x:c>
      <x:c r="AC12" s="17" t="n">
        <x:f>IF(AND(A12&lt;&gt;"",M12="VERIFIED",N12="YES",H12&lt;&gt;"",H12&lt;L12,I12&lt;&gt;"UNASSESSABLE",I12&lt;&gt;"UNREVIEWED",I12&lt;&gt;"NOT_DUE"),1,0)</x:f>
        <x:v>0</x:v>
      </x:c>
      <x:c r="AD12" s="17" t="n">
        <x:f>IF(AND(AC12=1,I12="FULL"),1,0)</x:f>
        <x:v>0</x:v>
      </x:c>
      <x:c r="AE12" s="17" t="n">
        <x:f>IF(AND(AC12=1,OR(I12="FULL",J12="FULL")),1,0)</x:f>
        <x:v>0</x:v>
      </x:c>
      <x:c r="AF12" s="20"/>
    </x:row>
    <x:row r="13" ht="58" customHeight="1">
      <x:c r="A13" s="17" t="str">
        <x:v>AUD-008</x:v>
      </x:c>
      <x:c r="B13" s="17" t="str">
        <x:v>Most mobile computing will be by touch/voice, not keyboards, by 2010.</x:v>
      </x:c>
      <x:c r="C13" s="17" t="str">
        <x:v>Computing hardware</x:v>
      </x:c>
      <x:c r="D13" s="17" t="str">
        <x:v>Computing/Hardware</x:v>
      </x:c>
      <x:c r="E13" s="17" t="str">
        <x:v>*Age of Spiritual Machines* (1999)</x:v>
      </x:c>
      <x:c r="F13" s="17" t="n">
        <x:v>1999</x:v>
      </x:c>
      <x:c r="G13" s="17" t="str">
        <x:v>2009</x:v>
      </x:c>
      <x:c r="H13" s="20"/>
      <x:c r="I13" s="17" t="str">
        <x:v>UNREVIEWED</x:v>
      </x:c>
      <x:c r="J13" s="17" t="str">
        <x:v>UNREVIEWED</x:v>
      </x:c>
      <x:c r="K13" s="20"/>
      <x:c r="L13" s="20" t="n">
        <x:v>2026</x:v>
      </x:c>
      <x:c r="M13" s="17" t="str">
        <x:v>UNREVIEWED</x:v>
      </x:c>
      <x:c r="N13" s="17" t="str">
        <x:v>NO</x:v>
      </x:c>
      <x:c r="O13" s="17"/>
      <x:c r="P13" s="17" t="str">
        <x:v>AUD-008</x:v>
      </x:c>
      <x:c r="Q13" s="17"/>
      <x:c r="R13" s="17"/>
      <x:c r="S13" s="17"/>
      <x:c r="T13" s="17"/>
      <x:c r="U13" s="17" t="str">
        <x:v>NO</x:v>
      </x:c>
      <x:c r="V13" s="17"/>
      <x:c r="W13" s="17"/>
      <x:c r="X13" s="17" t="str">
        <x:v>Imported research lead only. Verify attribution, deadline, scope and outcome; do not inherit the legacy score. Draft category needs review. Legacy on-time/achieved label may conflict with its positive drift.</x:v>
      </x:c>
      <x:c r="Y13" s="17" t="str">
        <x:v>AUD-008</x:v>
      </x:c>
      <x:c r="Z13" s="17" t="str">
        <x:f>IF(A13="","",IF(M13="EXCLUDED","EXCLUDED",IF(M13&lt;&gt;"VERIFIED","UNREVIEWED",IF(OR(H13="",I13="UNASSESSABLE",J13="UNASSESSABLE"),"UNSCORABLE",IF(H13&gt;=L13,IF(J13="FULL","CORRECT","PENDING"),IF(I13="FULL","CORRECT",IF(J13="FULL","LATE",IF(OR(I13="PARTIAL",J13="PARTIAL"),"PARTIAL","WRONG / MISSED"))))))))</x:f>
        <x:v>UNREVIEWED</x:v>
      </x:c>
      <x:c r="AA13" s="17" t="str">
        <x:f>IF(OR(A13="",M13&lt;&gt;"VERIFIED",H13="",K13="",J13&lt;&gt;"FULL"),"",K13-H13)</x:f>
      </x:c>
      <x:c r="AB13" s="17" t="str">
        <x:f>IF(OR(A13="",M13&lt;&gt;"VERIFIED",H13="",H13&gt;=L13,J13="FULL",J13="UNASSESSABLE"),"",L13-H13)</x:f>
      </x:c>
      <x:c r="AC13" s="17" t="n">
        <x:f>IF(AND(A13&lt;&gt;"",M13="VERIFIED",N13="YES",H13&lt;&gt;"",H13&lt;L13,I13&lt;&gt;"UNASSESSABLE",I13&lt;&gt;"UNREVIEWED",I13&lt;&gt;"NOT_DUE"),1,0)</x:f>
        <x:v>0</x:v>
      </x:c>
      <x:c r="AD13" s="17" t="n">
        <x:f>IF(AND(AC13=1,I13="FULL"),1,0)</x:f>
        <x:v>0</x:v>
      </x:c>
      <x:c r="AE13" s="17" t="n">
        <x:f>IF(AND(AC13=1,OR(I13="FULL",J13="FULL")),1,0)</x:f>
        <x:v>0</x:v>
      </x:c>
      <x:c r="AF13" s="20"/>
    </x:row>
    <x:row r="14" ht="58" customHeight="1">
      <x:c r="A14" s="17" t="str">
        <x:v>AUD-009</x:v>
      </x:c>
      <x:c r="B14" s="17" t="str">
        <x:v>Most people will store data (music, video, docs) on their own servers by 2010.</x:v>
      </x:c>
      <x:c r="C14" s="17" t="str">
        <x:v>Networks &amp; communications</x:v>
      </x:c>
      <x:c r="D14" s="17" t="str">
        <x:v>Computing/Internet</x:v>
      </x:c>
      <x:c r="E14" s="17" t="str">
        <x:v>*Age of Spiritual Machines* (1999)</x:v>
      </x:c>
      <x:c r="F14" s="17" t="n">
        <x:v>1999</x:v>
      </x:c>
      <x:c r="G14" s="17" t="str">
        <x:v>2009</x:v>
      </x:c>
      <x:c r="H14" s="20"/>
      <x:c r="I14" s="17" t="str">
        <x:v>UNREVIEWED</x:v>
      </x:c>
      <x:c r="J14" s="17" t="str">
        <x:v>UNREVIEWED</x:v>
      </x:c>
      <x:c r="K14" s="20"/>
      <x:c r="L14" s="20" t="n">
        <x:v>2026</x:v>
      </x:c>
      <x:c r="M14" s="17" t="str">
        <x:v>UNREVIEWED</x:v>
      </x:c>
      <x:c r="N14" s="17" t="str">
        <x:v>NO</x:v>
      </x:c>
      <x:c r="O14" s="17"/>
      <x:c r="P14" s="17" t="str">
        <x:v>AUD-009</x:v>
      </x:c>
      <x:c r="Q14" s="17"/>
      <x:c r="R14" s="17"/>
      <x:c r="S14" s="17"/>
      <x:c r="T14" s="17"/>
      <x:c r="U14" s="17" t="str">
        <x:v>NO</x:v>
      </x:c>
      <x:c r="V14" s="17"/>
      <x:c r="W14" s="17"/>
      <x:c r="X14" s="17" t="str">
        <x:v>Imported research lead only. Verify attribution, deadline, scope and outcome; do not inherit the legacy score. Draft category needs review.</x:v>
      </x:c>
      <x:c r="Y14" s="17" t="str">
        <x:v>AUD-009</x:v>
      </x:c>
      <x:c r="Z14" s="17" t="str">
        <x:f>IF(A14="","",IF(M14="EXCLUDED","EXCLUDED",IF(M14&lt;&gt;"VERIFIED","UNREVIEWED",IF(OR(H14="",I14="UNASSESSABLE",J14="UNASSESSABLE"),"UNSCORABLE",IF(H14&gt;=L14,IF(J14="FULL","CORRECT","PENDING"),IF(I14="FULL","CORRECT",IF(J14="FULL","LATE",IF(OR(I14="PARTIAL",J14="PARTIAL"),"PARTIAL","WRONG / MISSED"))))))))</x:f>
        <x:v>UNREVIEWED</x:v>
      </x:c>
      <x:c r="AA14" s="17" t="str">
        <x:f>IF(OR(A14="",M14&lt;&gt;"VERIFIED",H14="",K14="",J14&lt;&gt;"FULL"),"",K14-H14)</x:f>
      </x:c>
      <x:c r="AB14" s="17" t="str">
        <x:f>IF(OR(A14="",M14&lt;&gt;"VERIFIED",H14="",H14&gt;=L14,J14="FULL",J14="UNASSESSABLE"),"",L14-H14)</x:f>
      </x:c>
      <x:c r="AC14" s="17" t="n">
        <x:f>IF(AND(A14&lt;&gt;"",M14="VERIFIED",N14="YES",H14&lt;&gt;"",H14&lt;L14,I14&lt;&gt;"UNASSESSABLE",I14&lt;&gt;"UNREVIEWED",I14&lt;&gt;"NOT_DUE"),1,0)</x:f>
        <x:v>0</x:v>
      </x:c>
      <x:c r="AD14" s="17" t="n">
        <x:f>IF(AND(AC14=1,I14="FULL"),1,0)</x:f>
        <x:v>0</x:v>
      </x:c>
      <x:c r="AE14" s="17" t="n">
        <x:f>IF(AND(AC14=1,OR(I14="FULL",J14="FULL")),1,0)</x:f>
        <x:v>0</x:v>
      </x:c>
      <x:c r="AF14" s="20"/>
    </x:row>
    <x:row r="15" ht="58" customHeight="1">
      <x:c r="A15" s="17" t="str">
        <x:v>AUD-010</x:v>
      </x:c>
      <x:c r="B15" s="17" t="str">
        <x:v>Media (music, books, movies) will be distributed mostly digitally by 2010.</x:v>
      </x:c>
      <x:c r="C15" s="17" t="str">
        <x:v>Media, education &amp; culture</x:v>
      </x:c>
      <x:c r="D15" s="17" t="str">
        <x:v>Media/Digital</x:v>
      </x:c>
      <x:c r="E15" s="17" t="str">
        <x:v>*Age of Spiritual Machines* (1999)</x:v>
      </x:c>
      <x:c r="F15" s="17" t="n">
        <x:v>1999</x:v>
      </x:c>
      <x:c r="G15" s="17" t="str">
        <x:v>2009</x:v>
      </x:c>
      <x:c r="H15" s="20"/>
      <x:c r="I15" s="17" t="str">
        <x:v>UNREVIEWED</x:v>
      </x:c>
      <x:c r="J15" s="17" t="str">
        <x:v>UNREVIEWED</x:v>
      </x:c>
      <x:c r="K15" s="20"/>
      <x:c r="L15" s="20" t="n">
        <x:v>2026</x:v>
      </x:c>
      <x:c r="M15" s="17" t="str">
        <x:v>UNREVIEWED</x:v>
      </x:c>
      <x:c r="N15" s="17" t="str">
        <x:v>NO</x:v>
      </x:c>
      <x:c r="O15" s="17"/>
      <x:c r="P15" s="17" t="str">
        <x:v>AUD-010</x:v>
      </x:c>
      <x:c r="Q15" s="17"/>
      <x:c r="R15" s="17"/>
      <x:c r="S15" s="17"/>
      <x:c r="T15" s="17"/>
      <x:c r="U15" s="17" t="str">
        <x:v>NO</x:v>
      </x:c>
      <x:c r="V15" s="17"/>
      <x:c r="W15" s="17"/>
      <x:c r="X15" s="17" t="str">
        <x:v>Imported research lead only. Verify attribution, deadline, scope and outcome; do not inherit the legacy score. Draft category needs review.</x:v>
      </x:c>
      <x:c r="Y15" s="17" t="str">
        <x:v>AUD-010</x:v>
      </x:c>
      <x:c r="Z15" s="17" t="str">
        <x:f>IF(A15="","",IF(M15="EXCLUDED","EXCLUDED",IF(M15&lt;&gt;"VERIFIED","UNREVIEWED",IF(OR(H15="",I15="UNASSESSABLE",J15="UNASSESSABLE"),"UNSCORABLE",IF(H15&gt;=L15,IF(J15="FULL","CORRECT","PENDING"),IF(I15="FULL","CORRECT",IF(J15="FULL","LATE",IF(OR(I15="PARTIAL",J15="PARTIAL"),"PARTIAL","WRONG / MISSED"))))))))</x:f>
        <x:v>UNREVIEWED</x:v>
      </x:c>
      <x:c r="AA15" s="17" t="str">
        <x:f>IF(OR(A15="",M15&lt;&gt;"VERIFIED",H15="",K15="",J15&lt;&gt;"FULL"),"",K15-H15)</x:f>
      </x:c>
      <x:c r="AB15" s="17" t="str">
        <x:f>IF(OR(A15="",M15&lt;&gt;"VERIFIED",H15="",H15&gt;=L15,J15="FULL",J15="UNASSESSABLE"),"",L15-H15)</x:f>
      </x:c>
      <x:c r="AC15" s="17" t="n">
        <x:f>IF(AND(A15&lt;&gt;"",M15="VERIFIED",N15="YES",H15&lt;&gt;"",H15&lt;L15,I15&lt;&gt;"UNASSESSABLE",I15&lt;&gt;"UNREVIEWED",I15&lt;&gt;"NOT_DUE"),1,0)</x:f>
        <x:v>0</x:v>
      </x:c>
      <x:c r="AD15" s="17" t="n">
        <x:f>IF(AND(AC15=1,I15="FULL"),1,0)</x:f>
        <x:v>0</x:v>
      </x:c>
      <x:c r="AE15" s="17" t="n">
        <x:f>IF(AND(AC15=1,OR(I15="FULL",J15="FULL")),1,0)</x:f>
        <x:v>0</x:v>
      </x:c>
      <x:c r="AF15" s="20"/>
    </x:row>
    <x:row r="16" ht="58" customHeight="1">
      <x:c r="A16" s="17" t="str">
        <x:v>AUD-011</x:v>
      </x:c>
      <x:c r="B16" s="17" t="str">
        <x:v>Wired cables will vanish in favor of short-range wireless by 2010.</x:v>
      </x:c>
      <x:c r="C16" s="17" t="str">
        <x:v>Computing hardware</x:v>
      </x:c>
      <x:c r="D16" s="17" t="str">
        <x:v>Computing/Hardware</x:v>
      </x:c>
      <x:c r="E16" s="17" t="str">
        <x:v>*Age of Spiritual Machines* (1999)</x:v>
      </x:c>
      <x:c r="F16" s="17" t="n">
        <x:v>1999</x:v>
      </x:c>
      <x:c r="G16" s="17" t="str">
        <x:v>2009</x:v>
      </x:c>
      <x:c r="H16" s="20"/>
      <x:c r="I16" s="17" t="str">
        <x:v>UNREVIEWED</x:v>
      </x:c>
      <x:c r="J16" s="17" t="str">
        <x:v>UNREVIEWED</x:v>
      </x:c>
      <x:c r="K16" s="20"/>
      <x:c r="L16" s="20" t="n">
        <x:v>2026</x:v>
      </x:c>
      <x:c r="M16" s="17" t="str">
        <x:v>UNREVIEWED</x:v>
      </x:c>
      <x:c r="N16" s="17" t="str">
        <x:v>NO</x:v>
      </x:c>
      <x:c r="O16" s="17"/>
      <x:c r="P16" s="17" t="str">
        <x:v>AUD-011</x:v>
      </x:c>
      <x:c r="Q16" s="17"/>
      <x:c r="R16" s="17"/>
      <x:c r="S16" s="17"/>
      <x:c r="T16" s="17"/>
      <x:c r="U16" s="17" t="str">
        <x:v>NO</x:v>
      </x:c>
      <x:c r="V16" s="17"/>
      <x:c r="W16" s="17"/>
      <x:c r="X16" s="17" t="str">
        <x:v>Imported research lead only. Verify attribution, deadline, scope and outcome; do not inherit the legacy score. Draft category needs review.</x:v>
      </x:c>
      <x:c r="Y16" s="17" t="str">
        <x:v>AUD-011</x:v>
      </x:c>
      <x:c r="Z16" s="17" t="str">
        <x:f>IF(A16="","",IF(M16="EXCLUDED","EXCLUDED",IF(M16&lt;&gt;"VERIFIED","UNREVIEWED",IF(OR(H16="",I16="UNASSESSABLE",J16="UNASSESSABLE"),"UNSCORABLE",IF(H16&gt;=L16,IF(J16="FULL","CORRECT","PENDING"),IF(I16="FULL","CORRECT",IF(J16="FULL","LATE",IF(OR(I16="PARTIAL",J16="PARTIAL"),"PARTIAL","WRONG / MISSED"))))))))</x:f>
        <x:v>UNREVIEWED</x:v>
      </x:c>
      <x:c r="AA16" s="17" t="str">
        <x:f>IF(OR(A16="",M16&lt;&gt;"VERIFIED",H16="",K16="",J16&lt;&gt;"FULL"),"",K16-H16)</x:f>
      </x:c>
      <x:c r="AB16" s="17" t="str">
        <x:f>IF(OR(A16="",M16&lt;&gt;"VERIFIED",H16="",H16&gt;=L16,J16="FULL",J16="UNASSESSABLE"),"",L16-H16)</x:f>
      </x:c>
      <x:c r="AC16" s="17" t="n">
        <x:f>IF(AND(A16&lt;&gt;"",M16="VERIFIED",N16="YES",H16&lt;&gt;"",H16&lt;L16,I16&lt;&gt;"UNASSESSABLE",I16&lt;&gt;"UNREVIEWED",I16&lt;&gt;"NOT_DUE"),1,0)</x:f>
        <x:v>0</x:v>
      </x:c>
      <x:c r="AD16" s="17" t="n">
        <x:f>IF(AND(AC16=1,I16="FULL"),1,0)</x:f>
        <x:v>0</x:v>
      </x:c>
      <x:c r="AE16" s="17" t="n">
        <x:f>IF(AND(AC16=1,OR(I16="FULL",J16="FULL")),1,0)</x:f>
        <x:v>0</x:v>
      </x:c>
      <x:c r="AF16" s="20"/>
    </x:row>
    <x:row r="17" ht="58" customHeight="1">
      <x:c r="A17" s="17" t="str">
        <x:v>AUD-012</x:v>
      </x:c>
      <x:c r="B17" s="17" t="str">
        <x:v>High-speed wireless networking will be ubiquitous by 2010.</x:v>
      </x:c>
      <x:c r="C17" s="17" t="str">
        <x:v>Networks &amp; communications</x:v>
      </x:c>
      <x:c r="D17" s="17" t="str">
        <x:v>Computing/Internet</x:v>
      </x:c>
      <x:c r="E17" s="17" t="str">
        <x:v>*Age of Spiritual Machines* (1999)</x:v>
      </x:c>
      <x:c r="F17" s="17" t="n">
        <x:v>1999</x:v>
      </x:c>
      <x:c r="G17" s="17" t="str">
        <x:v>2009</x:v>
      </x:c>
      <x:c r="H17" s="20"/>
      <x:c r="I17" s="17" t="str">
        <x:v>UNREVIEWED</x:v>
      </x:c>
      <x:c r="J17" s="17" t="str">
        <x:v>UNREVIEWED</x:v>
      </x:c>
      <x:c r="K17" s="20"/>
      <x:c r="L17" s="20" t="n">
        <x:v>2026</x:v>
      </x:c>
      <x:c r="M17" s="17" t="str">
        <x:v>UNREVIEWED</x:v>
      </x:c>
      <x:c r="N17" s="17" t="str">
        <x:v>NO</x:v>
      </x:c>
      <x:c r="O17" s="17"/>
      <x:c r="P17" s="17" t="str">
        <x:v>AUD-012</x:v>
      </x:c>
      <x:c r="Q17" s="17"/>
      <x:c r="R17" s="17"/>
      <x:c r="S17" s="17"/>
      <x:c r="T17" s="17"/>
      <x:c r="U17" s="17" t="str">
        <x:v>NO</x:v>
      </x:c>
      <x:c r="V17" s="17"/>
      <x:c r="W17" s="17"/>
      <x:c r="X17" s="17" t="str">
        <x:v>Imported research lead only. Verify attribution, deadline, scope and outcome; do not inherit the legacy score. Draft category needs review.</x:v>
      </x:c>
      <x:c r="Y17" s="17" t="str">
        <x:v>AUD-012</x:v>
      </x:c>
      <x:c r="Z17" s="17" t="str">
        <x:f>IF(A17="","",IF(M17="EXCLUDED","EXCLUDED",IF(M17&lt;&gt;"VERIFIED","UNREVIEWED",IF(OR(H17="",I17="UNASSESSABLE",J17="UNASSESSABLE"),"UNSCORABLE",IF(H17&gt;=L17,IF(J17="FULL","CORRECT","PENDING"),IF(I17="FULL","CORRECT",IF(J17="FULL","LATE",IF(OR(I17="PARTIAL",J17="PARTIAL"),"PARTIAL","WRONG / MISSED"))))))))</x:f>
        <x:v>UNREVIEWED</x:v>
      </x:c>
      <x:c r="AA17" s="17" t="str">
        <x:f>IF(OR(A17="",M17&lt;&gt;"VERIFIED",H17="",K17="",J17&lt;&gt;"FULL"),"",K17-H17)</x:f>
      </x:c>
      <x:c r="AB17" s="17" t="str">
        <x:f>IF(OR(A17="",M17&lt;&gt;"VERIFIED",H17="",H17&gt;=L17,J17="FULL",J17="UNASSESSABLE"),"",L17-H17)</x:f>
      </x:c>
      <x:c r="AC17" s="17" t="n">
        <x:f>IF(AND(A17&lt;&gt;"",M17="VERIFIED",N17="YES",H17&lt;&gt;"",H17&lt;L17,I17&lt;&gt;"UNASSESSABLE",I17&lt;&gt;"UNREVIEWED",I17&lt;&gt;"NOT_DUE"),1,0)</x:f>
        <x:v>0</x:v>
      </x:c>
      <x:c r="AD17" s="17" t="n">
        <x:f>IF(AND(AC17=1,I17="FULL"),1,0)</x:f>
        <x:v>0</x:v>
      </x:c>
      <x:c r="AE17" s="17" t="n">
        <x:f>IF(AND(AC17=1,OR(I17="FULL",J17="FULL")),1,0)</x:f>
        <x:v>0</x:v>
      </x:c>
      <x:c r="AF17" s="20"/>
    </x:row>
    <x:row r="18" ht="58" customHeight="1">
      <x:c r="A18" s="17" t="str">
        <x:v>AUD-013</x:v>
      </x:c>
      <x:c r="B18" s="17" t="str">
        <x:v>Most text will be created via dictation by 2010.</x:v>
      </x:c>
      <x:c r="C18" s="17" t="str">
        <x:v>AI &amp; software</x:v>
      </x:c>
      <x:c r="D18" s="17" t="str">
        <x:v>AI/NLP</x:v>
      </x:c>
      <x:c r="E18" s="17" t="str">
        <x:v>*Age of Spiritual Machines* (1999)</x:v>
      </x:c>
      <x:c r="F18" s="17" t="n">
        <x:v>1999</x:v>
      </x:c>
      <x:c r="G18" s="17" t="str">
        <x:v>2009</x:v>
      </x:c>
      <x:c r="H18" s="20"/>
      <x:c r="I18" s="17" t="str">
        <x:v>UNREVIEWED</x:v>
      </x:c>
      <x:c r="J18" s="17" t="str">
        <x:v>UNREVIEWED</x:v>
      </x:c>
      <x:c r="K18" s="20"/>
      <x:c r="L18" s="20" t="n">
        <x:v>2026</x:v>
      </x:c>
      <x:c r="M18" s="17" t="str">
        <x:v>UNREVIEWED</x:v>
      </x:c>
      <x:c r="N18" s="17" t="str">
        <x:v>NO</x:v>
      </x:c>
      <x:c r="O18" s="17"/>
      <x:c r="P18" s="17" t="str">
        <x:v>AUD-013</x:v>
      </x:c>
      <x:c r="Q18" s="17"/>
      <x:c r="R18" s="17"/>
      <x:c r="S18" s="17"/>
      <x:c r="T18" s="17"/>
      <x:c r="U18" s="17" t="str">
        <x:v>NO</x:v>
      </x:c>
      <x:c r="V18" s="17"/>
      <x:c r="W18" s="17"/>
      <x:c r="X18" s="17" t="str">
        <x:v>Imported research lead only. Verify attribution, deadline, scope and outcome; do not inherit the legacy score. Draft category needs review.</x:v>
      </x:c>
      <x:c r="Y18" s="17" t="str">
        <x:v>AUD-013</x:v>
      </x:c>
      <x:c r="Z18" s="17" t="str">
        <x:f>IF(A18="","",IF(M18="EXCLUDED","EXCLUDED",IF(M18&lt;&gt;"VERIFIED","UNREVIEWED",IF(OR(H18="",I18="UNASSESSABLE",J18="UNASSESSABLE"),"UNSCORABLE",IF(H18&gt;=L18,IF(J18="FULL","CORRECT","PENDING"),IF(I18="FULL","CORRECT",IF(J18="FULL","LATE",IF(OR(I18="PARTIAL",J18="PARTIAL"),"PARTIAL","WRONG / MISSED"))))))))</x:f>
        <x:v>UNREVIEWED</x:v>
      </x:c>
      <x:c r="AA18" s="17" t="str">
        <x:f>IF(OR(A18="",M18&lt;&gt;"VERIFIED",H18="",K18="",J18&lt;&gt;"FULL"),"",K18-H18)</x:f>
      </x:c>
      <x:c r="AB18" s="17" t="str">
        <x:f>IF(OR(A18="",M18&lt;&gt;"VERIFIED",H18="",H18&gt;=L18,J18="FULL",J18="UNASSESSABLE"),"",L18-H18)</x:f>
      </x:c>
      <x:c r="AC18" s="17" t="n">
        <x:f>IF(AND(A18&lt;&gt;"",M18="VERIFIED",N18="YES",H18&lt;&gt;"",H18&lt;L18,I18&lt;&gt;"UNASSESSABLE",I18&lt;&gt;"UNREVIEWED",I18&lt;&gt;"NOT_DUE"),1,0)</x:f>
        <x:v>0</x:v>
      </x:c>
      <x:c r="AD18" s="17" t="n">
        <x:f>IF(AND(AC18=1,I18="FULL"),1,0)</x:f>
        <x:v>0</x:v>
      </x:c>
      <x:c r="AE18" s="17" t="n">
        <x:f>IF(AND(AC18=1,OR(I18="FULL",J18="FULL")),1,0)</x:f>
        <x:v>0</x:v>
      </x:c>
      <x:c r="AF18" s="20"/>
    </x:row>
    <x:row r="19" ht="58" customHeight="1">
      <x:c r="A19" s="17" t="str">
        <x:v>AUD-014</x:v>
      </x:c>
      <x:c r="B19" s="17" t="str">
        <x:v>Voice-based assistants will handle routine tasks by 2010.</x:v>
      </x:c>
      <x:c r="C19" s="17" t="str">
        <x:v>AI &amp; software</x:v>
      </x:c>
      <x:c r="D19" s="17" t="str">
        <x:v>AI/NLP</x:v>
      </x:c>
      <x:c r="E19" s="17" t="str">
        <x:v>*Age of Spiritual Machines* (1999)</x:v>
      </x:c>
      <x:c r="F19" s="17" t="n">
        <x:v>1999</x:v>
      </x:c>
      <x:c r="G19" s="17" t="str">
        <x:v>2009</x:v>
      </x:c>
      <x:c r="H19" s="20"/>
      <x:c r="I19" s="17" t="str">
        <x:v>UNREVIEWED</x:v>
      </x:c>
      <x:c r="J19" s="17" t="str">
        <x:v>UNREVIEWED</x:v>
      </x:c>
      <x:c r="K19" s="20"/>
      <x:c r="L19" s="20" t="n">
        <x:v>2026</x:v>
      </x:c>
      <x:c r="M19" s="17" t="str">
        <x:v>UNREVIEWED</x:v>
      </x:c>
      <x:c r="N19" s="17" t="str">
        <x:v>NO</x:v>
      </x:c>
      <x:c r="O19" s="17"/>
      <x:c r="P19" s="17" t="str">
        <x:v>AUD-014</x:v>
      </x:c>
      <x:c r="Q19" s="17"/>
      <x:c r="R19" s="17"/>
      <x:c r="S19" s="17"/>
      <x:c r="T19" s="17"/>
      <x:c r="U19" s="17" t="str">
        <x:v>NO</x:v>
      </x:c>
      <x:c r="V19" s="17"/>
      <x:c r="W19" s="17"/>
      <x:c r="X19" s="17" t="str">
        <x:v>Imported research lead only. Verify attribution, deadline, scope and outcome; do not inherit the legacy score. Draft category needs review.</x:v>
      </x:c>
      <x:c r="Y19" s="17" t="str">
        <x:v>AUD-014</x:v>
      </x:c>
      <x:c r="Z19" s="17" t="str">
        <x:f>IF(A19="","",IF(M19="EXCLUDED","EXCLUDED",IF(M19&lt;&gt;"VERIFIED","UNREVIEWED",IF(OR(H19="",I19="UNASSESSABLE",J19="UNASSESSABLE"),"UNSCORABLE",IF(H19&gt;=L19,IF(J19="FULL","CORRECT","PENDING"),IF(I19="FULL","CORRECT",IF(J19="FULL","LATE",IF(OR(I19="PARTIAL",J19="PARTIAL"),"PARTIAL","WRONG / MISSED"))))))))</x:f>
        <x:v>UNREVIEWED</x:v>
      </x:c>
      <x:c r="AA19" s="17" t="str">
        <x:f>IF(OR(A19="",M19&lt;&gt;"VERIFIED",H19="",K19="",J19&lt;&gt;"FULL"),"",K19-H19)</x:f>
      </x:c>
      <x:c r="AB19" s="17" t="str">
        <x:f>IF(OR(A19="",M19&lt;&gt;"VERIFIED",H19="",H19&gt;=L19,J19="FULL",J19="UNASSESSABLE"),"",L19-H19)</x:f>
      </x:c>
      <x:c r="AC19" s="17" t="n">
        <x:f>IF(AND(A19&lt;&gt;"",M19="VERIFIED",N19="YES",H19&lt;&gt;"",H19&lt;L19,I19&lt;&gt;"UNASSESSABLE",I19&lt;&gt;"UNREVIEWED",I19&lt;&gt;"NOT_DUE"),1,0)</x:f>
        <x:v>0</x:v>
      </x:c>
      <x:c r="AD19" s="17" t="n">
        <x:f>IF(AND(AC19=1,I19="FULL"),1,0)</x:f>
        <x:v>0</x:v>
      </x:c>
      <x:c r="AE19" s="17" t="n">
        <x:f>IF(AND(AC19=1,OR(I19="FULL",J19="FULL")),1,0)</x:f>
        <x:v>0</x:v>
      </x:c>
      <x:c r="AF19" s="20"/>
    </x:row>
    <x:row r="20" ht="58" customHeight="1">
      <x:c r="A20" s="17" t="str">
        <x:v>AUD-015</x:v>
      </x:c>
      <x:c r="B20" s="17" t="str">
        <x:v>Paper will be largely replaced by high-quality digital displays by 2010.</x:v>
      </x:c>
      <x:c r="C20" s="17" t="str">
        <x:v>Media, education &amp; culture</x:v>
      </x:c>
      <x:c r="D20" s="17" t="str">
        <x:v>Media/Digital</x:v>
      </x:c>
      <x:c r="E20" s="17" t="str">
        <x:v>*Age of Spiritual Machines* (1999)</x:v>
      </x:c>
      <x:c r="F20" s="17" t="n">
        <x:v>1999</x:v>
      </x:c>
      <x:c r="G20" s="17" t="str">
        <x:v>2009</x:v>
      </x:c>
      <x:c r="H20" s="20"/>
      <x:c r="I20" s="17" t="str">
        <x:v>UNREVIEWED</x:v>
      </x:c>
      <x:c r="J20" s="17" t="str">
        <x:v>UNREVIEWED</x:v>
      </x:c>
      <x:c r="K20" s="20"/>
      <x:c r="L20" s="20" t="n">
        <x:v>2026</x:v>
      </x:c>
      <x:c r="M20" s="17" t="str">
        <x:v>UNREVIEWED</x:v>
      </x:c>
      <x:c r="N20" s="17" t="str">
        <x:v>NO</x:v>
      </x:c>
      <x:c r="O20" s="17"/>
      <x:c r="P20" s="17" t="str">
        <x:v>AUD-015</x:v>
      </x:c>
      <x:c r="Q20" s="17"/>
      <x:c r="R20" s="17"/>
      <x:c r="S20" s="17"/>
      <x:c r="T20" s="17"/>
      <x:c r="U20" s="17" t="str">
        <x:v>NO</x:v>
      </x:c>
      <x:c r="V20" s="17"/>
      <x:c r="W20" s="17"/>
      <x:c r="X20" s="17" t="str">
        <x:v>Imported research lead only. Verify attribution, deadline, scope and outcome; do not inherit the legacy score. Draft category needs review.</x:v>
      </x:c>
      <x:c r="Y20" s="17" t="str">
        <x:v>AUD-015</x:v>
      </x:c>
      <x:c r="Z20" s="17" t="str">
        <x:f>IF(A20="","",IF(M20="EXCLUDED","EXCLUDED",IF(M20&lt;&gt;"VERIFIED","UNREVIEWED",IF(OR(H20="",I20="UNASSESSABLE",J20="UNASSESSABLE"),"UNSCORABLE",IF(H20&gt;=L20,IF(J20="FULL","CORRECT","PENDING"),IF(I20="FULL","CORRECT",IF(J20="FULL","LATE",IF(OR(I20="PARTIAL",J20="PARTIAL"),"PARTIAL","WRONG / MISSED"))))))))</x:f>
        <x:v>UNREVIEWED</x:v>
      </x:c>
      <x:c r="AA20" s="17" t="str">
        <x:f>IF(OR(A20="",M20&lt;&gt;"VERIFIED",H20="",K20="",J20&lt;&gt;"FULL"),"",K20-H20)</x:f>
      </x:c>
      <x:c r="AB20" s="17" t="str">
        <x:f>IF(OR(A20="",M20&lt;&gt;"VERIFIED",H20="",H20&gt;=L20,J20="FULL",J20="UNASSESSABLE"),"",L20-H20)</x:f>
      </x:c>
      <x:c r="AC20" s="17" t="n">
        <x:f>IF(AND(A20&lt;&gt;"",M20="VERIFIED",N20="YES",H20&lt;&gt;"",H20&lt;L20,I20&lt;&gt;"UNASSESSABLE",I20&lt;&gt;"UNREVIEWED",I20&lt;&gt;"NOT_DUE"),1,0)</x:f>
        <x:v>0</x:v>
      </x:c>
      <x:c r="AD20" s="17" t="n">
        <x:f>IF(AND(AC20=1,I20="FULL"),1,0)</x:f>
        <x:v>0</x:v>
      </x:c>
      <x:c r="AE20" s="17" t="n">
        <x:f>IF(AND(AC20=1,OR(I20="FULL",J20="FULL")),1,0)</x:f>
        <x:v>0</x:v>
      </x:c>
      <x:c r="AF20" s="20"/>
    </x:row>
    <x:row r="21" ht="58" customHeight="1">
      <x:c r="A21" s="17" t="str">
        <x:v>AUD-016</x:v>
      </x:c>
      <x:c r="B21" s="17" t="str">
        <x:v>Augmented-reality displays (e.g. smart glasses) will exist by 2015.</x:v>
      </x:c>
      <x:c r="C21" s="17" t="str">
        <x:v>Interfaces &amp; virtual worlds</x:v>
      </x:c>
      <x:c r="D21" s="17" t="str">
        <x:v>AR/VR</x:v>
      </x:c>
      <x:c r="E21" s="17" t="str">
        <x:v>*The Singularity Is Near* (2005)</x:v>
      </x:c>
      <x:c r="F21" s="17" t="n">
        <x:v>2005</x:v>
      </x:c>
      <x:c r="G21" s="17" t="str">
        <x:v>2010</x:v>
      </x:c>
      <x:c r="H21" s="20"/>
      <x:c r="I21" s="17" t="str">
        <x:v>UNREVIEWED</x:v>
      </x:c>
      <x:c r="J21" s="17" t="str">
        <x:v>UNREVIEWED</x:v>
      </x:c>
      <x:c r="K21" s="20"/>
      <x:c r="L21" s="20" t="n">
        <x:v>2026</x:v>
      </x:c>
      <x:c r="M21" s="17" t="str">
        <x:v>UNREVIEWED</x:v>
      </x:c>
      <x:c r="N21" s="17" t="str">
        <x:v>NO</x:v>
      </x:c>
      <x:c r="O21" s="17"/>
      <x:c r="P21" s="17" t="str">
        <x:v>AUD-016</x:v>
      </x:c>
      <x:c r="Q21" s="17"/>
      <x:c r="R21" s="17"/>
      <x:c r="S21" s="17"/>
      <x:c r="T21" s="17"/>
      <x:c r="U21" s="17" t="str">
        <x:v>NO</x:v>
      </x:c>
      <x:c r="V21" s="17"/>
      <x:c r="W21" s="17"/>
      <x:c r="X21" s="17" t="str">
        <x:v>Imported research lead only. Verify attribution, deadline, scope and outcome; do not inherit the legacy score. Draft category needs review.</x:v>
      </x:c>
      <x:c r="Y21" s="17" t="str">
        <x:v>AUD-016</x:v>
      </x:c>
      <x:c r="Z21" s="17" t="str">
        <x:f>IF(A21="","",IF(M21="EXCLUDED","EXCLUDED",IF(M21&lt;&gt;"VERIFIED","UNREVIEWED",IF(OR(H21="",I21="UNASSESSABLE",J21="UNASSESSABLE"),"UNSCORABLE",IF(H21&gt;=L21,IF(J21="FULL","CORRECT","PENDING"),IF(I21="FULL","CORRECT",IF(J21="FULL","LATE",IF(OR(I21="PARTIAL",J21="PARTIAL"),"PARTIAL","WRONG / MISSED"))))))))</x:f>
        <x:v>UNREVIEWED</x:v>
      </x:c>
      <x:c r="AA21" s="17" t="str">
        <x:f>IF(OR(A21="",M21&lt;&gt;"VERIFIED",H21="",K21="",J21&lt;&gt;"FULL"),"",K21-H21)</x:f>
      </x:c>
      <x:c r="AB21" s="17" t="str">
        <x:f>IF(OR(A21="",M21&lt;&gt;"VERIFIED",H21="",H21&gt;=L21,J21="FULL",J21="UNASSESSABLE"),"",L21-H21)</x:f>
      </x:c>
      <x:c r="AC21" s="17" t="n">
        <x:f>IF(AND(A21&lt;&gt;"",M21="VERIFIED",N21="YES",H21&lt;&gt;"",H21&lt;L21,I21&lt;&gt;"UNASSESSABLE",I21&lt;&gt;"UNREVIEWED",I21&lt;&gt;"NOT_DUE"),1,0)</x:f>
        <x:v>0</x:v>
      </x:c>
      <x:c r="AD21" s="17" t="n">
        <x:f>IF(AND(AC21=1,I21="FULL"),1,0)</x:f>
        <x:v>0</x:v>
      </x:c>
      <x:c r="AE21" s="17" t="n">
        <x:f>IF(AND(AC21=1,OR(I21="FULL",J21="FULL")),1,0)</x:f>
        <x:v>0</x:v>
      </x:c>
      <x:c r="AF21" s="20"/>
    </x:row>
    <x:row r="22" ht="58" customHeight="1">
      <x:c r="A22" s="17" t="str">
        <x:v>AUD-017</x:v>
      </x:c>
      <x:c r="B22" s="17" t="str">
        <x:v>Wearable projectors will create 3D spatial audio by 2010.</x:v>
      </x:c>
      <x:c r="C22" s="17" t="str">
        <x:v>Interfaces &amp; virtual worlds</x:v>
      </x:c>
      <x:c r="D22" s="17" t="str">
        <x:v>AR/VR</x:v>
      </x:c>
      <x:c r="E22" s="17" t="str">
        <x:v>*The Singularity Is Near* (2005)</x:v>
      </x:c>
      <x:c r="F22" s="17" t="n">
        <x:v>2005</x:v>
      </x:c>
      <x:c r="G22" s="17" t="str">
        <x:v>2010</x:v>
      </x:c>
      <x:c r="H22" s="20"/>
      <x:c r="I22" s="17" t="str">
        <x:v>UNREVIEWED</x:v>
      </x:c>
      <x:c r="J22" s="17" t="str">
        <x:v>UNREVIEWED</x:v>
      </x:c>
      <x:c r="K22" s="20"/>
      <x:c r="L22" s="20" t="n">
        <x:v>2026</x:v>
      </x:c>
      <x:c r="M22" s="17" t="str">
        <x:v>UNREVIEWED</x:v>
      </x:c>
      <x:c r="N22" s="17" t="str">
        <x:v>NO</x:v>
      </x:c>
      <x:c r="O22" s="17"/>
      <x:c r="P22" s="17" t="str">
        <x:v>AUD-017</x:v>
      </x:c>
      <x:c r="Q22" s="17"/>
      <x:c r="R22" s="17"/>
      <x:c r="S22" s="17"/>
      <x:c r="T22" s="17"/>
      <x:c r="U22" s="17" t="str">
        <x:v>NO</x:v>
      </x:c>
      <x:c r="V22" s="17"/>
      <x:c r="W22" s="17"/>
      <x:c r="X22" s="17" t="str">
        <x:v>Imported research lead only. Verify attribution, deadline, scope and outcome; do not inherit the legacy score. Draft category needs review.</x:v>
      </x:c>
      <x:c r="Y22" s="17" t="str">
        <x:v>AUD-017</x:v>
      </x:c>
      <x:c r="Z22" s="17" t="str">
        <x:f>IF(A22="","",IF(M22="EXCLUDED","EXCLUDED",IF(M22&lt;&gt;"VERIFIED","UNREVIEWED",IF(OR(H22="",I22="UNASSESSABLE",J22="UNASSESSABLE"),"UNSCORABLE",IF(H22&gt;=L22,IF(J22="FULL","CORRECT","PENDING"),IF(I22="FULL","CORRECT",IF(J22="FULL","LATE",IF(OR(I22="PARTIAL",J22="PARTIAL"),"PARTIAL","WRONG / MISSED"))))))))</x:f>
        <x:v>UNREVIEWED</x:v>
      </x:c>
      <x:c r="AA22" s="17" t="str">
        <x:f>IF(OR(A22="",M22&lt;&gt;"VERIFIED",H22="",K22="",J22&lt;&gt;"FULL"),"",K22-H22)</x:f>
      </x:c>
      <x:c r="AB22" s="17" t="str">
        <x:f>IF(OR(A22="",M22&lt;&gt;"VERIFIED",H22="",H22&gt;=L22,J22="FULL",J22="UNASSESSABLE"),"",L22-H22)</x:f>
      </x:c>
      <x:c r="AC22" s="17" t="n">
        <x:f>IF(AND(A22&lt;&gt;"",M22="VERIFIED",N22="YES",H22&lt;&gt;"",H22&lt;L22,I22&lt;&gt;"UNASSESSABLE",I22&lt;&gt;"UNREVIEWED",I22&lt;&gt;"NOT_DUE"),1,0)</x:f>
        <x:v>0</x:v>
      </x:c>
      <x:c r="AD22" s="17" t="n">
        <x:f>IF(AND(AC22=1,I22="FULL"),1,0)</x:f>
        <x:v>0</x:v>
      </x:c>
      <x:c r="AE22" s="17" t="n">
        <x:f>IF(AND(AC22=1,OR(I22="FULL",J22="FULL")),1,0)</x:f>
        <x:v>0</x:v>
      </x:c>
      <x:c r="AF22" s="20"/>
    </x:row>
    <x:row r="23" ht="58" customHeight="1">
      <x:c r="A23" s="17" t="str">
        <x:v>AUD-018</x:v>
      </x:c>
      <x:c r="B23" s="17" t="str">
        <x:v>Full VR systems (high-res, immersion) will be available by 2010.</x:v>
      </x:c>
      <x:c r="C23" s="17" t="str">
        <x:v>Interfaces &amp; virtual worlds</x:v>
      </x:c>
      <x:c r="D23" s="17" t="str">
        <x:v>AR/VR</x:v>
      </x:c>
      <x:c r="E23" s="17" t="str">
        <x:v>*The Singularity Is Near* (2005)</x:v>
      </x:c>
      <x:c r="F23" s="17" t="n">
        <x:v>2005</x:v>
      </x:c>
      <x:c r="G23" s="17" t="str">
        <x:v>2010</x:v>
      </x:c>
      <x:c r="H23" s="20"/>
      <x:c r="I23" s="17" t="str">
        <x:v>UNREVIEWED</x:v>
      </x:c>
      <x:c r="J23" s="17" t="str">
        <x:v>UNREVIEWED</x:v>
      </x:c>
      <x:c r="K23" s="20"/>
      <x:c r="L23" s="20" t="n">
        <x:v>2026</x:v>
      </x:c>
      <x:c r="M23" s="17" t="str">
        <x:v>UNREVIEWED</x:v>
      </x:c>
      <x:c r="N23" s="17" t="str">
        <x:v>NO</x:v>
      </x:c>
      <x:c r="O23" s="17"/>
      <x:c r="P23" s="17" t="str">
        <x:v>AUD-018</x:v>
      </x:c>
      <x:c r="Q23" s="17"/>
      <x:c r="R23" s="17"/>
      <x:c r="S23" s="17"/>
      <x:c r="T23" s="17"/>
      <x:c r="U23" s="17" t="str">
        <x:v>NO</x:v>
      </x:c>
      <x:c r="V23" s="17"/>
      <x:c r="W23" s="17"/>
      <x:c r="X23" s="17" t="str">
        <x:v>Imported research lead only. Verify attribution, deadline, scope and outcome; do not inherit the legacy score. Draft category needs review.</x:v>
      </x:c>
      <x:c r="Y23" s="17" t="str">
        <x:v>AUD-018</x:v>
      </x:c>
      <x:c r="Z23" s="17" t="str">
        <x:f>IF(A23="","",IF(M23="EXCLUDED","EXCLUDED",IF(M23&lt;&gt;"VERIFIED","UNREVIEWED",IF(OR(H23="",I23="UNASSESSABLE",J23="UNASSESSABLE"),"UNSCORABLE",IF(H23&gt;=L23,IF(J23="FULL","CORRECT","PENDING"),IF(I23="FULL","CORRECT",IF(J23="FULL","LATE",IF(OR(I23="PARTIAL",J23="PARTIAL"),"PARTIAL","WRONG / MISSED"))))))))</x:f>
        <x:v>UNREVIEWED</x:v>
      </x:c>
      <x:c r="AA23" s="17" t="str">
        <x:f>IF(OR(A23="",M23&lt;&gt;"VERIFIED",H23="",K23="",J23&lt;&gt;"FULL"),"",K23-H23)</x:f>
      </x:c>
      <x:c r="AB23" s="17" t="str">
        <x:f>IF(OR(A23="",M23&lt;&gt;"VERIFIED",H23="",H23&gt;=L23,J23="FULL",J23="UNASSESSABLE"),"",L23-H23)</x:f>
      </x:c>
      <x:c r="AC23" s="17" t="n">
        <x:f>IF(AND(A23&lt;&gt;"",M23="VERIFIED",N23="YES",H23&lt;&gt;"",H23&lt;L23,I23&lt;&gt;"UNASSESSABLE",I23&lt;&gt;"UNREVIEWED",I23&lt;&gt;"NOT_DUE"),1,0)</x:f>
        <x:v>0</x:v>
      </x:c>
      <x:c r="AD23" s="17" t="n">
        <x:f>IF(AND(AC23=1,I23="FULL"),1,0)</x:f>
        <x:v>0</x:v>
      </x:c>
      <x:c r="AE23" s="17" t="n">
        <x:f>IF(AND(AC23=1,OR(I23="FULL",J23="FULL")),1,0)</x:f>
        <x:v>0</x:v>
      </x:c>
      <x:c r="AF23" s="20"/>
    </x:row>
    <x:row r="24" ht="58" customHeight="1">
      <x:c r="A24" s="17" t="str">
        <x:v>AUD-019</x:v>
      </x:c>
      <x:c r="B24" s="17" t="str">
        <x:v>Augmented reality overlays (e.g. AR apps) will be common by 2010.</x:v>
      </x:c>
      <x:c r="C24" s="17" t="str">
        <x:v>Interfaces &amp; virtual worlds</x:v>
      </x:c>
      <x:c r="D24" s="17" t="str">
        <x:v>AR/VR</x:v>
      </x:c>
      <x:c r="E24" s="17" t="str">
        <x:v>*The Singularity Is Near* (2005)</x:v>
      </x:c>
      <x:c r="F24" s="17" t="n">
        <x:v>2005</x:v>
      </x:c>
      <x:c r="G24" s="17" t="str">
        <x:v>2010</x:v>
      </x:c>
      <x:c r="H24" s="20"/>
      <x:c r="I24" s="17" t="str">
        <x:v>UNREVIEWED</x:v>
      </x:c>
      <x:c r="J24" s="17" t="str">
        <x:v>UNREVIEWED</x:v>
      </x:c>
      <x:c r="K24" s="20"/>
      <x:c r="L24" s="20" t="n">
        <x:v>2026</x:v>
      </x:c>
      <x:c r="M24" s="17" t="str">
        <x:v>UNREVIEWED</x:v>
      </x:c>
      <x:c r="N24" s="17" t="str">
        <x:v>NO</x:v>
      </x:c>
      <x:c r="O24" s="17"/>
      <x:c r="P24" s="17" t="str">
        <x:v>AUD-019</x:v>
      </x:c>
      <x:c r="Q24" s="17"/>
      <x:c r="R24" s="17"/>
      <x:c r="S24" s="17"/>
      <x:c r="T24" s="17"/>
      <x:c r="U24" s="17" t="str">
        <x:v>NO</x:v>
      </x:c>
      <x:c r="V24" s="17"/>
      <x:c r="W24" s="17"/>
      <x:c r="X24" s="17" t="str">
        <x:v>Imported research lead only. Verify attribution, deadline, scope and outcome; do not inherit the legacy score. Draft category needs review.</x:v>
      </x:c>
      <x:c r="Y24" s="17" t="str">
        <x:v>AUD-019</x:v>
      </x:c>
      <x:c r="Z24" s="17" t="str">
        <x:f>IF(A24="","",IF(M24="EXCLUDED","EXCLUDED",IF(M24&lt;&gt;"VERIFIED","UNREVIEWED",IF(OR(H24="",I24="UNASSESSABLE",J24="UNASSESSABLE"),"UNSCORABLE",IF(H24&gt;=L24,IF(J24="FULL","CORRECT","PENDING"),IF(I24="FULL","CORRECT",IF(J24="FULL","LATE",IF(OR(I24="PARTIAL",J24="PARTIAL"),"PARTIAL","WRONG / MISSED"))))))))</x:f>
        <x:v>UNREVIEWED</x:v>
      </x:c>
      <x:c r="AA24" s="17" t="str">
        <x:f>IF(OR(A24="",M24&lt;&gt;"VERIFIED",H24="",K24="",J24&lt;&gt;"FULL"),"",K24-H24)</x:f>
      </x:c>
      <x:c r="AB24" s="17" t="str">
        <x:f>IF(OR(A24="",M24&lt;&gt;"VERIFIED",H24="",H24&gt;=L24,J24="FULL",J24="UNASSESSABLE"),"",L24-H24)</x:f>
      </x:c>
      <x:c r="AC24" s="17" t="n">
        <x:f>IF(AND(A24&lt;&gt;"",M24="VERIFIED",N24="YES",H24&lt;&gt;"",H24&lt;L24,I24&lt;&gt;"UNASSESSABLE",I24&lt;&gt;"UNREVIEWED",I24&lt;&gt;"NOT_DUE"),1,0)</x:f>
        <x:v>0</x:v>
      </x:c>
      <x:c r="AD24" s="17" t="n">
        <x:f>IF(AND(AC24=1,I24="FULL"),1,0)</x:f>
        <x:v>0</x:v>
      </x:c>
      <x:c r="AE24" s="17" t="n">
        <x:f>IF(AND(AC24=1,OR(I24="FULL",J24="FULL")),1,0)</x:f>
        <x:v>0</x:v>
      </x:c>
      <x:c r="AF24" s="20"/>
    </x:row>
    <x:row r="25" ht="58" customHeight="1">
      <x:c r="A25" s="17" t="str">
        <x:v>AUD-020</x:v>
      </x:c>
      <x:c r="B25" s="17" t="str">
        <x:v>Warfare will be dominated by remote weapons/drones by 2010.</x:v>
      </x:c>
      <x:c r="C25" s="17" t="str">
        <x:v>Security &amp; warfare</x:v>
      </x:c>
      <x:c r="D25" s="17" t="str">
        <x:v>Military/Robotics</x:v>
      </x:c>
      <x:c r="E25" s="17" t="str">
        <x:v>*The Age of Spiritual Machines* (1999) [in Warfare section]</x:v>
      </x:c>
      <x:c r="F25" s="17" t="n">
        <x:v>1999</x:v>
      </x:c>
      <x:c r="G25" s="17" t="str">
        <x:v>2009</x:v>
      </x:c>
      <x:c r="H25" s="20"/>
      <x:c r="I25" s="17" t="str">
        <x:v>UNREVIEWED</x:v>
      </x:c>
      <x:c r="J25" s="17" t="str">
        <x:v>UNREVIEWED</x:v>
      </x:c>
      <x:c r="K25" s="20"/>
      <x:c r="L25" s="20" t="n">
        <x:v>2026</x:v>
      </x:c>
      <x:c r="M25" s="17" t="str">
        <x:v>UNREVIEWED</x:v>
      </x:c>
      <x:c r="N25" s="17" t="str">
        <x:v>NO</x:v>
      </x:c>
      <x:c r="O25" s="17"/>
      <x:c r="P25" s="17" t="str">
        <x:v>AUD-020</x:v>
      </x:c>
      <x:c r="Q25" s="17"/>
      <x:c r="R25" s="17"/>
      <x:c r="S25" s="17"/>
      <x:c r="T25" s="17"/>
      <x:c r="U25" s="17" t="str">
        <x:v>NO</x:v>
      </x:c>
      <x:c r="V25" s="17"/>
      <x:c r="W25" s="17"/>
      <x:c r="X25" s="17" t="str">
        <x:v>Imported research lead only. Verify attribution, deadline, scope and outcome; do not inherit the legacy score. Draft category needs review. Do not equate existence/use of drones with dominant warfare or humans being far from battle.</x:v>
      </x:c>
      <x:c r="Y25" s="17" t="str">
        <x:v>AUD-020</x:v>
      </x:c>
      <x:c r="Z25" s="17" t="str">
        <x:f>IF(A25="","",IF(M25="EXCLUDED","EXCLUDED",IF(M25&lt;&gt;"VERIFIED","UNREVIEWED",IF(OR(H25="",I25="UNASSESSABLE",J25="UNASSESSABLE"),"UNSCORABLE",IF(H25&gt;=L25,IF(J25="FULL","CORRECT","PENDING"),IF(I25="FULL","CORRECT",IF(J25="FULL","LATE",IF(OR(I25="PARTIAL",J25="PARTIAL"),"PARTIAL","WRONG / MISSED"))))))))</x:f>
        <x:v>UNREVIEWED</x:v>
      </x:c>
      <x:c r="AA25" s="17" t="str">
        <x:f>IF(OR(A25="",M25&lt;&gt;"VERIFIED",H25="",K25="",J25&lt;&gt;"FULL"),"",K25-H25)</x:f>
      </x:c>
      <x:c r="AB25" s="17" t="str">
        <x:f>IF(OR(A25="",M25&lt;&gt;"VERIFIED",H25="",H25&gt;=L25,J25="FULL",J25="UNASSESSABLE"),"",L25-H25)</x:f>
      </x:c>
      <x:c r="AC25" s="17" t="n">
        <x:f>IF(AND(A25&lt;&gt;"",M25="VERIFIED",N25="YES",H25&lt;&gt;"",H25&lt;L25,I25&lt;&gt;"UNASSESSABLE",I25&lt;&gt;"UNREVIEWED",I25&lt;&gt;"NOT_DUE"),1,0)</x:f>
        <x:v>0</x:v>
      </x:c>
      <x:c r="AD25" s="17" t="n">
        <x:f>IF(AND(AC25=1,I25="FULL"),1,0)</x:f>
        <x:v>0</x:v>
      </x:c>
      <x:c r="AE25" s="17" t="n">
        <x:f>IF(AND(AC25=1,OR(I25="FULL",J25="FULL")),1,0)</x:f>
        <x:v>0</x:v>
      </x:c>
      <x:c r="AF25" s="20"/>
    </x:row>
    <x:row r="26" ht="58" customHeight="1">
      <x:c r="A26" s="17" t="str">
        <x:v>AUD-021</x:v>
      </x:c>
      <x:c r="B26" s="17" t="str">
        <x:v>War will be carried out by autonomous drones by 2010.</x:v>
      </x:c>
      <x:c r="C26" s="17" t="str">
        <x:v>Security &amp; warfare</x:v>
      </x:c>
      <x:c r="D26" s="17" t="str">
        <x:v>Military/Robotics</x:v>
      </x:c>
      <x:c r="E26" s="17" t="str">
        <x:v>*The Age of Spiritual Machines* (1999) [Warfare]</x:v>
      </x:c>
      <x:c r="F26" s="17" t="n">
        <x:v>1999</x:v>
      </x:c>
      <x:c r="G26" s="17" t="str">
        <x:v>2009</x:v>
      </x:c>
      <x:c r="H26" s="20"/>
      <x:c r="I26" s="17" t="str">
        <x:v>UNREVIEWED</x:v>
      </x:c>
      <x:c r="J26" s="17" t="str">
        <x:v>UNREVIEWED</x:v>
      </x:c>
      <x:c r="K26" s="20"/>
      <x:c r="L26" s="20" t="n">
        <x:v>2026</x:v>
      </x:c>
      <x:c r="M26" s="17" t="str">
        <x:v>UNREVIEWED</x:v>
      </x:c>
      <x:c r="N26" s="17" t="str">
        <x:v>NO</x:v>
      </x:c>
      <x:c r="O26" s="17"/>
      <x:c r="P26" s="17" t="str">
        <x:v>AUD-021</x:v>
      </x:c>
      <x:c r="Q26" s="17"/>
      <x:c r="R26" s="17"/>
      <x:c r="S26" s="17"/>
      <x:c r="T26" s="17"/>
      <x:c r="U26" s="17" t="str">
        <x:v>NO</x:v>
      </x:c>
      <x:c r="V26" s="17"/>
      <x:c r="W26" s="17"/>
      <x:c r="X26" s="17" t="str">
        <x:v>Imported research lead only. Verify attribution, deadline, scope and outcome; do not inherit the legacy score. Draft category needs review. Do not equate existence/use of drones with dominant warfare or humans being far from battle.</x:v>
      </x:c>
      <x:c r="Y26" s="17" t="str">
        <x:v>AUD-021</x:v>
      </x:c>
      <x:c r="Z26" s="17" t="str">
        <x:f>IF(A26="","",IF(M26="EXCLUDED","EXCLUDED",IF(M26&lt;&gt;"VERIFIED","UNREVIEWED",IF(OR(H26="",I26="UNASSESSABLE",J26="UNASSESSABLE"),"UNSCORABLE",IF(H26&gt;=L26,IF(J26="FULL","CORRECT","PENDING"),IF(I26="FULL","CORRECT",IF(J26="FULL","LATE",IF(OR(I26="PARTIAL",J26="PARTIAL"),"PARTIAL","WRONG / MISSED"))))))))</x:f>
        <x:v>UNREVIEWED</x:v>
      </x:c>
      <x:c r="AA26" s="17" t="str">
        <x:f>IF(OR(A26="",M26&lt;&gt;"VERIFIED",H26="",K26="",J26&lt;&gt;"FULL"),"",K26-H26)</x:f>
      </x:c>
      <x:c r="AB26" s="17" t="str">
        <x:f>IF(OR(A26="",M26&lt;&gt;"VERIFIED",H26="",H26&gt;=L26,J26="FULL",J26="UNASSESSABLE"),"",L26-H26)</x:f>
      </x:c>
      <x:c r="AC26" s="17" t="n">
        <x:f>IF(AND(A26&lt;&gt;"",M26="VERIFIED",N26="YES",H26&lt;&gt;"",H26&lt;L26,I26&lt;&gt;"UNASSESSABLE",I26&lt;&gt;"UNREVIEWED",I26&lt;&gt;"NOT_DUE"),1,0)</x:f>
        <x:v>0</x:v>
      </x:c>
      <x:c r="AD26" s="17" t="n">
        <x:f>IF(AND(AC26=1,I26="FULL"),1,0)</x:f>
        <x:v>0</x:v>
      </x:c>
      <x:c r="AE26" s="17" t="n">
        <x:f>IF(AND(AC26=1,OR(I26="FULL",J26="FULL")),1,0)</x:f>
        <x:v>0</x:v>
      </x:c>
      <x:c r="AF26" s="20"/>
    </x:row>
    <x:row r="27" ht="58" customHeight="1">
      <x:c r="A27" s="17" t="str">
        <x:v>AUD-022</x:v>
      </x:c>
      <x:c r="B27" s="17" t="str">
        <x:v>Solar energy will meet global demand by ~2028.</x:v>
      </x:c>
      <x:c r="C27" s="17" t="str">
        <x:v>Energy &amp; environment</x:v>
      </x:c>
      <x:c r="D27" s="17" t="str">
        <x:v>Energy</x:v>
      </x:c>
      <x:c r="E27" s="17" t="str">
        <x:v>National Academy panel (2008)【17†L703-L707】</x:v>
      </x:c>
      <x:c r="F27" s="17" t="n">
        <x:v>2008</x:v>
      </x:c>
      <x:c r="G27" s="17" t="str">
        <x:v>2028</x:v>
      </x:c>
      <x:c r="H27" s="20"/>
      <x:c r="I27" s="17" t="str">
        <x:v>UNREVIEWED</x:v>
      </x:c>
      <x:c r="J27" s="17" t="str">
        <x:v>UNREVIEWED</x:v>
      </x:c>
      <x:c r="K27" s="20"/>
      <x:c r="L27" s="20" t="n">
        <x:v>2026</x:v>
      </x:c>
      <x:c r="M27" s="17" t="str">
        <x:v>UNREVIEWED</x:v>
      </x:c>
      <x:c r="N27" s="17" t="str">
        <x:v>NO</x:v>
      </x:c>
      <x:c r="O27" s="17"/>
      <x:c r="P27" s="17" t="str">
        <x:v>AUD-022</x:v>
      </x:c>
      <x:c r="Q27" s="17"/>
      <x:c r="R27" s="17"/>
      <x:c r="S27" s="17"/>
      <x:c r="T27" s="17"/>
      <x:c r="U27" s="17" t="str">
        <x:v>NO</x:v>
      </x:c>
      <x:c r="V27" s="17"/>
      <x:c r="W27" s="17"/>
      <x:c r="X27" s="17" t="str">
        <x:v>Imported research lead only. Verify attribution, deadline, scope and outcome; do not inherit the legacy score. Draft category needs review. Falling solar costs do not establish coverage of all energy demand.</x:v>
      </x:c>
      <x:c r="Y27" s="17" t="str">
        <x:v>AUD-022</x:v>
      </x:c>
      <x:c r="Z27" s="17" t="str">
        <x:f>IF(A27="","",IF(M27="EXCLUDED","EXCLUDED",IF(M27&lt;&gt;"VERIFIED","UNREVIEWED",IF(OR(H27="",I27="UNASSESSABLE",J27="UNASSESSABLE"),"UNSCORABLE",IF(H27&gt;=L27,IF(J27="FULL","CORRECT","PENDING"),IF(I27="FULL","CORRECT",IF(J27="FULL","LATE",IF(OR(I27="PARTIAL",J27="PARTIAL"),"PARTIAL","WRONG / MISSED"))))))))</x:f>
        <x:v>UNREVIEWED</x:v>
      </x:c>
      <x:c r="AA27" s="17" t="str">
        <x:f>IF(OR(A27="",M27&lt;&gt;"VERIFIED",H27="",K27="",J27&lt;&gt;"FULL"),"",K27-H27)</x:f>
      </x:c>
      <x:c r="AB27" s="17" t="str">
        <x:f>IF(OR(A27="",M27&lt;&gt;"VERIFIED",H27="",H27&gt;=L27,J27="FULL",J27="UNASSESSABLE"),"",L27-H27)</x:f>
      </x:c>
      <x:c r="AC27" s="17" t="n">
        <x:f>IF(AND(A27&lt;&gt;"",M27="VERIFIED",N27="YES",H27&lt;&gt;"",H27&lt;L27,I27&lt;&gt;"UNASSESSABLE",I27&lt;&gt;"UNREVIEWED",I27&lt;&gt;"NOT_DUE"),1,0)</x:f>
        <x:v>0</x:v>
      </x:c>
      <x:c r="AD27" s="17" t="n">
        <x:f>IF(AND(AC27=1,I27="FULL"),1,0)</x:f>
        <x:v>0</x:v>
      </x:c>
      <x:c r="AE27" s="17" t="n">
        <x:f>IF(AND(AC27=1,OR(I27="FULL",J27="FULL")),1,0)</x:f>
        <x:v>0</x:v>
      </x:c>
      <x:c r="AF27" s="20"/>
    </x:row>
    <x:row r="28" ht="58" customHeight="1">
      <x:c r="A28" s="17" t="str">
        <x:v>AUD-023</x:v>
      </x:c>
      <x:c r="B28" s="17" t="str">
        <x:v>By ~2045 AI will exceed human intelligence (Singularity).</x:v>
      </x:c>
      <x:c r="C28" s="17" t="str">
        <x:v>AI &amp; software</x:v>
      </x:c>
      <x:c r="D28" s="17" t="str">
        <x:v>AI</x:v>
      </x:c>
      <x:c r="E28" s="17" t="str">
        <x:v>*The Singularity Is Near* (2005) and *Nearer* (2024)【54†L189-L197】</x:v>
      </x:c>
      <x:c r="F28" s="17" t="n">
        <x:v>2005</x:v>
      </x:c>
      <x:c r="G28" s="17" t="str">
        <x:v>2045</x:v>
      </x:c>
      <x:c r="H28" s="20"/>
      <x:c r="I28" s="17" t="str">
        <x:v>UNREVIEWED</x:v>
      </x:c>
      <x:c r="J28" s="17" t="str">
        <x:v>UNREVIEWED</x:v>
      </x:c>
      <x:c r="K28" s="20"/>
      <x:c r="L28" s="20" t="n">
        <x:v>2026</x:v>
      </x:c>
      <x:c r="M28" s="17" t="str">
        <x:v>UNREVIEWED</x:v>
      </x:c>
      <x:c r="N28" s="17" t="str">
        <x:v>NO</x:v>
      </x:c>
      <x:c r="O28" s="17"/>
      <x:c r="P28" s="17" t="str">
        <x:v>AUD-023</x:v>
      </x:c>
      <x:c r="Q28" s="17"/>
      <x:c r="R28" s="17"/>
      <x:c r="S28" s="17"/>
      <x:c r="T28" s="17"/>
      <x:c r="U28" s="17" t="str">
        <x:v>NO</x:v>
      </x:c>
      <x:c r="V28" s="17"/>
      <x:c r="W28" s="17"/>
      <x:c r="X28" s="17" t="str">
        <x:v>Imported research lead only. Verify attribution, deadline, scope and outcome; do not inherit the legacy score. Draft category needs review.</x:v>
      </x:c>
      <x:c r="Y28" s="17" t="str">
        <x:v>AUD-023</x:v>
      </x:c>
      <x:c r="Z28" s="17" t="str">
        <x:f>IF(A28="","",IF(M28="EXCLUDED","EXCLUDED",IF(M28&lt;&gt;"VERIFIED","UNREVIEWED",IF(OR(H28="",I28="UNASSESSABLE",J28="UNASSESSABLE"),"UNSCORABLE",IF(H28&gt;=L28,IF(J28="FULL","CORRECT","PENDING"),IF(I28="FULL","CORRECT",IF(J28="FULL","LATE",IF(OR(I28="PARTIAL",J28="PARTIAL"),"PARTIAL","WRONG / MISSED"))))))))</x:f>
        <x:v>UNREVIEWED</x:v>
      </x:c>
      <x:c r="AA28" s="17" t="str">
        <x:f>IF(OR(A28="",M28&lt;&gt;"VERIFIED",H28="",K28="",J28&lt;&gt;"FULL"),"",K28-H28)</x:f>
      </x:c>
      <x:c r="AB28" s="17" t="str">
        <x:f>IF(OR(A28="",M28&lt;&gt;"VERIFIED",H28="",H28&gt;=L28,J28="FULL",J28="UNASSESSABLE"),"",L28-H28)</x:f>
      </x:c>
      <x:c r="AC28" s="17" t="n">
        <x:f>IF(AND(A28&lt;&gt;"",M28="VERIFIED",N28="YES",H28&lt;&gt;"",H28&lt;L28,I28&lt;&gt;"UNASSESSABLE",I28&lt;&gt;"UNREVIEWED",I28&lt;&gt;"NOT_DUE"),1,0)</x:f>
        <x:v>0</x:v>
      </x:c>
      <x:c r="AD28" s="17" t="n">
        <x:f>IF(AND(AC28=1,I28="FULL"),1,0)</x:f>
        <x:v>0</x:v>
      </x:c>
      <x:c r="AE28" s="17" t="n">
        <x:f>IF(AND(AC28=1,OR(I28="FULL",J28="FULL")),1,0)</x:f>
        <x:v>0</x:v>
      </x:c>
      <x:c r="AF28" s="20"/>
    </x:row>
    <x:row r="29" ht="58" customHeight="1">
      <x:c r="A29" s="17" t="str">
        <x:v>AUD-024</x:v>
      </x:c>
      <x:c r="B29" s="17" t="str">
        <x:v>A computer will pass an unrestricted Turing Test by 2029.</x:v>
      </x:c>
      <x:c r="C29" s="17" t="str">
        <x:v>AI &amp; software</x:v>
      </x:c>
      <x:c r="D29" s="17" t="str">
        <x:v>AI</x:v>
      </x:c>
      <x:c r="E29" s="17" t="str">
        <x:v>Multiple sources (ASM 1999)【23†L73-L77】</x:v>
      </x:c>
      <x:c r="F29" s="17"/>
      <x:c r="G29" s="17" t="str">
        <x:v>2029</x:v>
      </x:c>
      <x:c r="H29" s="20"/>
      <x:c r="I29" s="17" t="str">
        <x:v>UNREVIEWED</x:v>
      </x:c>
      <x:c r="J29" s="17" t="str">
        <x:v>UNREVIEWED</x:v>
      </x:c>
      <x:c r="K29" s="20"/>
      <x:c r="L29" s="20" t="n">
        <x:v>2026</x:v>
      </x:c>
      <x:c r="M29" s="17" t="str">
        <x:v>UNREVIEWED</x:v>
      </x:c>
      <x:c r="N29" s="17" t="str">
        <x:v>NO</x:v>
      </x:c>
      <x:c r="O29" s="17"/>
      <x:c r="P29" s="17" t="str">
        <x:v>AUD-024</x:v>
      </x:c>
      <x:c r="Q29" s="17"/>
      <x:c r="R29" s="17"/>
      <x:c r="S29" s="17"/>
      <x:c r="T29" s="17"/>
      <x:c r="U29" s="17" t="str">
        <x:v>NO</x:v>
      </x:c>
      <x:c r="V29" s="17"/>
      <x:c r="W29" s="17"/>
      <x:c r="X29" s="17" t="str">
        <x:v>Imported research lead only. Verify attribution, deadline, scope and outcome; do not inherit the legacy score. Draft category needs review.</x:v>
      </x:c>
      <x:c r="Y29" s="17" t="str">
        <x:v>AUD-024</x:v>
      </x:c>
      <x:c r="Z29" s="17" t="str">
        <x:f>IF(A29="","",IF(M29="EXCLUDED","EXCLUDED",IF(M29&lt;&gt;"VERIFIED","UNREVIEWED",IF(OR(H29="",I29="UNASSESSABLE",J29="UNASSESSABLE"),"UNSCORABLE",IF(H29&gt;=L29,IF(J29="FULL","CORRECT","PENDING"),IF(I29="FULL","CORRECT",IF(J29="FULL","LATE",IF(OR(I29="PARTIAL",J29="PARTIAL"),"PARTIAL","WRONG / MISSED"))))))))</x:f>
        <x:v>UNREVIEWED</x:v>
      </x:c>
      <x:c r="AA29" s="17" t="str">
        <x:f>IF(OR(A29="",M29&lt;&gt;"VERIFIED",H29="",K29="",J29&lt;&gt;"FULL"),"",K29-H29)</x:f>
      </x:c>
      <x:c r="AB29" s="17" t="str">
        <x:f>IF(OR(A29="",M29&lt;&gt;"VERIFIED",H29="",H29&gt;=L29,J29="FULL",J29="UNASSESSABLE"),"",L29-H29)</x:f>
      </x:c>
      <x:c r="AC29" s="17" t="n">
        <x:f>IF(AND(A29&lt;&gt;"",M29="VERIFIED",N29="YES",H29&lt;&gt;"",H29&lt;L29,I29&lt;&gt;"UNASSESSABLE",I29&lt;&gt;"UNREVIEWED",I29&lt;&gt;"NOT_DUE"),1,0)</x:f>
        <x:v>0</x:v>
      </x:c>
      <x:c r="AD29" s="17" t="n">
        <x:f>IF(AND(AC29=1,I29="FULL"),1,0)</x:f>
        <x:v>0</x:v>
      </x:c>
      <x:c r="AE29" s="17" t="n">
        <x:f>IF(AND(AC29=1,OR(I29="FULL",J29="FULL")),1,0)</x:f>
        <x:v>0</x:v>
      </x:c>
      <x:c r="AF29" s="20"/>
    </x:row>
    <x:row r="30" ht="58" customHeight="1">
      <x:c r="A30" s="17" t="str">
        <x:v>AUD-025</x:v>
      </x:c>
      <x:c r="B30" s="17" t="str">
        <x:v>Nanobots will monitor/repair our bodies (e.g. fight disease) by 2019.</x:v>
      </x:c>
      <x:c r="C30" s="17" t="str">
        <x:v>Biology &amp; medicine</x:v>
      </x:c>
      <x:c r="D30" s="17" t="str">
        <x:v>Nanotech/Health</x:v>
      </x:c>
      <x:c r="E30" s="17" t="str">
        <x:v>*The Age of Spiritual Machines* (1999)</x:v>
      </x:c>
      <x:c r="F30" s="17" t="n">
        <x:v>1999</x:v>
      </x:c>
      <x:c r="G30" s="17" t="str">
        <x:v>2019</x:v>
      </x:c>
      <x:c r="H30" s="20"/>
      <x:c r="I30" s="17" t="str">
        <x:v>UNREVIEWED</x:v>
      </x:c>
      <x:c r="J30" s="17" t="str">
        <x:v>UNREVIEWED</x:v>
      </x:c>
      <x:c r="K30" s="20"/>
      <x:c r="L30" s="20" t="n">
        <x:v>2026</x:v>
      </x:c>
      <x:c r="M30" s="17" t="str">
        <x:v>UNREVIEWED</x:v>
      </x:c>
      <x:c r="N30" s="17" t="str">
        <x:v>NO</x:v>
      </x:c>
      <x:c r="O30" s="17"/>
      <x:c r="P30" s="17" t="str">
        <x:v>AUD-025</x:v>
      </x:c>
      <x:c r="Q30" s="17"/>
      <x:c r="R30" s="17"/>
      <x:c r="S30" s="17"/>
      <x:c r="T30" s="17"/>
      <x:c r="U30" s="17" t="str">
        <x:v>NO</x:v>
      </x:c>
      <x:c r="V30" s="17"/>
      <x:c r="W30" s="17"/>
      <x:c r="X30" s="17" t="str">
        <x:v>Imported research lead only. Verify attribution, deadline, scope and outcome; do not inherit the legacy score. Draft category needs review.</x:v>
      </x:c>
      <x:c r="Y30" s="17" t="str">
        <x:v>AUD-025</x:v>
      </x:c>
      <x:c r="Z30" s="17" t="str">
        <x:f>IF(A30="","",IF(M30="EXCLUDED","EXCLUDED",IF(M30&lt;&gt;"VERIFIED","UNREVIEWED",IF(OR(H30="",I30="UNASSESSABLE",J30="UNASSESSABLE"),"UNSCORABLE",IF(H30&gt;=L30,IF(J30="FULL","CORRECT","PENDING"),IF(I30="FULL","CORRECT",IF(J30="FULL","LATE",IF(OR(I30="PARTIAL",J30="PARTIAL"),"PARTIAL","WRONG / MISSED"))))))))</x:f>
        <x:v>UNREVIEWED</x:v>
      </x:c>
      <x:c r="AA30" s="17" t="str">
        <x:f>IF(OR(A30="",M30&lt;&gt;"VERIFIED",H30="",K30="",J30&lt;&gt;"FULL"),"",K30-H30)</x:f>
      </x:c>
      <x:c r="AB30" s="17" t="str">
        <x:f>IF(OR(A30="",M30&lt;&gt;"VERIFIED",H30="",H30&gt;=L30,J30="FULL",J30="UNASSESSABLE"),"",L30-H30)</x:f>
      </x:c>
      <x:c r="AC30" s="17" t="n">
        <x:f>IF(AND(A30&lt;&gt;"",M30="VERIFIED",N30="YES",H30&lt;&gt;"",H30&lt;L30,I30&lt;&gt;"UNASSESSABLE",I30&lt;&gt;"UNREVIEWED",I30&lt;&gt;"NOT_DUE"),1,0)</x:f>
        <x:v>0</x:v>
      </x:c>
      <x:c r="AD30" s="17" t="n">
        <x:f>IF(AND(AC30=1,I30="FULL"),1,0)</x:f>
        <x:v>0</x:v>
      </x:c>
      <x:c r="AE30" s="17" t="n">
        <x:f>IF(AND(AC30=1,OR(I30="FULL",J30="FULL")),1,0)</x:f>
        <x:v>0</x:v>
      </x:c>
      <x:c r="AF30" s="20"/>
    </x:row>
    <x:row r="31" ht="58" customHeight="1">
      <x:c r="A31" s="17" t="str">
        <x:v>AUD-026</x:v>
      </x:c>
      <x:c r="B31" s="17" t="str">
        <x:v>A consumer PC ($1000) will have human-brain-level computing by 2020.</x:v>
      </x:c>
      <x:c r="C31" s="17" t="str">
        <x:v>AI &amp; software</x:v>
      </x:c>
      <x:c r="D31" s="17" t="str">
        <x:v>Hardware/AI</x:v>
      </x:c>
      <x:c r="E31" s="17" t="str">
        <x:v>*The Singularity Is Near* (2005)</x:v>
      </x:c>
      <x:c r="F31" s="17" t="n">
        <x:v>2005</x:v>
      </x:c>
      <x:c r="G31" s="17" t="str">
        <x:v>2020</x:v>
      </x:c>
      <x:c r="H31" s="20"/>
      <x:c r="I31" s="17" t="str">
        <x:v>UNREVIEWED</x:v>
      </x:c>
      <x:c r="J31" s="17" t="str">
        <x:v>UNREVIEWED</x:v>
      </x:c>
      <x:c r="K31" s="20"/>
      <x:c r="L31" s="20" t="n">
        <x:v>2026</x:v>
      </x:c>
      <x:c r="M31" s="17" t="str">
        <x:v>UNREVIEWED</x:v>
      </x:c>
      <x:c r="N31" s="17" t="str">
        <x:v>NO</x:v>
      </x:c>
      <x:c r="O31" s="17"/>
      <x:c r="P31" s="17" t="str">
        <x:v>AUD-026</x:v>
      </x:c>
      <x:c r="Q31" s="17"/>
      <x:c r="R31" s="17"/>
      <x:c r="S31" s="17"/>
      <x:c r="T31" s="17"/>
      <x:c r="U31" s="17" t="str">
        <x:v>NO</x:v>
      </x:c>
      <x:c r="V31" s="17"/>
      <x:c r="W31" s="17"/>
      <x:c r="X31" s="17" t="str">
        <x:v>Imported research lead only. Verify attribution, deadline, scope and outcome; do not inherit the legacy score. Draft category needs review.</x:v>
      </x:c>
      <x:c r="Y31" s="17" t="str">
        <x:v>AUD-026</x:v>
      </x:c>
      <x:c r="Z31" s="17" t="str">
        <x:f>IF(A31="","",IF(M31="EXCLUDED","EXCLUDED",IF(M31&lt;&gt;"VERIFIED","UNREVIEWED",IF(OR(H31="",I31="UNASSESSABLE",J31="UNASSESSABLE"),"UNSCORABLE",IF(H31&gt;=L31,IF(J31="FULL","CORRECT","PENDING"),IF(I31="FULL","CORRECT",IF(J31="FULL","LATE",IF(OR(I31="PARTIAL",J31="PARTIAL"),"PARTIAL","WRONG / MISSED"))))))))</x:f>
        <x:v>UNREVIEWED</x:v>
      </x:c>
      <x:c r="AA31" s="17" t="str">
        <x:f>IF(OR(A31="",M31&lt;&gt;"VERIFIED",H31="",K31="",J31&lt;&gt;"FULL"),"",K31-H31)</x:f>
      </x:c>
      <x:c r="AB31" s="17" t="str">
        <x:f>IF(OR(A31="",M31&lt;&gt;"VERIFIED",H31="",H31&gt;=L31,J31="FULL",J31="UNASSESSABLE"),"",L31-H31)</x:f>
      </x:c>
      <x:c r="AC31" s="17" t="n">
        <x:f>IF(AND(A31&lt;&gt;"",M31="VERIFIED",N31="YES",H31&lt;&gt;"",H31&lt;L31,I31&lt;&gt;"UNASSESSABLE",I31&lt;&gt;"UNREVIEWED",I31&lt;&gt;"NOT_DUE"),1,0)</x:f>
        <x:v>0</x:v>
      </x:c>
      <x:c r="AD31" s="17" t="n">
        <x:f>IF(AND(AC31=1,I31="FULL"),1,0)</x:f>
        <x:v>0</x:v>
      </x:c>
      <x:c r="AE31" s="17" t="n">
        <x:f>IF(AND(AC31=1,OR(I31="FULL",J31="FULL")),1,0)</x:f>
        <x:v>0</x:v>
      </x:c>
      <x:c r="AF31" s="20"/>
    </x:row>
    <x:row r="32" ht="58" customHeight="1">
      <x:c r="A32" s="17" t="str">
        <x:v>AUD-027</x:v>
      </x:c>
      <x:c r="B32" s="17" t="str">
        <x:v>By the 2010s, language translators and personal assistants will be common.</x:v>
      </x:c>
      <x:c r="C32" s="17" t="str">
        <x:v>Networks &amp; communications</x:v>
      </x:c>
      <x:c r="D32" s="17" t="str">
        <x:v>AI/Communications</x:v>
      </x:c>
      <x:c r="E32" s="17" t="str">
        <x:v>Various interviews / *Singularity Is Near*</x:v>
      </x:c>
      <x:c r="F32" s="17"/>
      <x:c r="G32" s="17" t="str">
        <x:v>2015</x:v>
      </x:c>
      <x:c r="H32" s="20"/>
      <x:c r="I32" s="17" t="str">
        <x:v>UNREVIEWED</x:v>
      </x:c>
      <x:c r="J32" s="17" t="str">
        <x:v>UNREVIEWED</x:v>
      </x:c>
      <x:c r="K32" s="20"/>
      <x:c r="L32" s="20" t="n">
        <x:v>2026</x:v>
      </x:c>
      <x:c r="M32" s="17" t="str">
        <x:v>UNREVIEWED</x:v>
      </x:c>
      <x:c r="N32" s="17" t="str">
        <x:v>NO</x:v>
      </x:c>
      <x:c r="O32" s="17"/>
      <x:c r="P32" s="17" t="str">
        <x:v>AUD-027</x:v>
      </x:c>
      <x:c r="Q32" s="17"/>
      <x:c r="R32" s="17"/>
      <x:c r="S32" s="17"/>
      <x:c r="T32" s="17"/>
      <x:c r="U32" s="17" t="str">
        <x:v>NO</x:v>
      </x:c>
      <x:c r="V32" s="17"/>
      <x:c r="W32" s="17"/>
      <x:c r="X32" s="17" t="str">
        <x:v>Imported research lead only. Verify attribution, deadline, scope and outcome; do not inherit the legacy score. Draft category needs review.</x:v>
      </x:c>
      <x:c r="Y32" s="17" t="str">
        <x:v>AUD-027</x:v>
      </x:c>
      <x:c r="Z32" s="17" t="str">
        <x:f>IF(A32="","",IF(M32="EXCLUDED","EXCLUDED",IF(M32&lt;&gt;"VERIFIED","UNREVIEWED",IF(OR(H32="",I32="UNASSESSABLE",J32="UNASSESSABLE"),"UNSCORABLE",IF(H32&gt;=L32,IF(J32="FULL","CORRECT","PENDING"),IF(I32="FULL","CORRECT",IF(J32="FULL","LATE",IF(OR(I32="PARTIAL",J32="PARTIAL"),"PARTIAL","WRONG / MISSED"))))))))</x:f>
        <x:v>UNREVIEWED</x:v>
      </x:c>
      <x:c r="AA32" s="17" t="str">
        <x:f>IF(OR(A32="",M32&lt;&gt;"VERIFIED",H32="",K32="",J32&lt;&gt;"FULL"),"",K32-H32)</x:f>
      </x:c>
      <x:c r="AB32" s="17" t="str">
        <x:f>IF(OR(A32="",M32&lt;&gt;"VERIFIED",H32="",H32&gt;=L32,J32="FULL",J32="UNASSESSABLE"),"",L32-H32)</x:f>
      </x:c>
      <x:c r="AC32" s="17" t="n">
        <x:f>IF(AND(A32&lt;&gt;"",M32="VERIFIED",N32="YES",H32&lt;&gt;"",H32&lt;L32,I32&lt;&gt;"UNASSESSABLE",I32&lt;&gt;"UNREVIEWED",I32&lt;&gt;"NOT_DUE"),1,0)</x:f>
        <x:v>0</x:v>
      </x:c>
      <x:c r="AD32" s="17" t="n">
        <x:f>IF(AND(AC32=1,I32="FULL"),1,0)</x:f>
        <x:v>0</x:v>
      </x:c>
      <x:c r="AE32" s="17" t="n">
        <x:f>IF(AND(AC32=1,OR(I32="FULL",J32="FULL")),1,0)</x:f>
        <x:v>0</x:v>
      </x:c>
      <x:c r="AF32" s="20"/>
    </x:row>
    <x:row r="33" ht="58" customHeight="1">
      <x:c r="A33" s="17" t="str">
        <x:v>AUD-028</x:v>
      </x:c>
      <x:c r="B33" s="17" t="str">
        <x:v>Autonomous vehicles will be common by 2015.</x:v>
      </x:c>
      <x:c r="C33" s="17" t="str">
        <x:v>Robotics &amp; transportation</x:v>
      </x:c>
      <x:c r="D33" s="17" t="str">
        <x:v>Transport</x:v>
      </x:c>
      <x:c r="E33" s="17" t="str">
        <x:v>*The Age of Spiritual Machines* (1999) [ASM pg 150]</x:v>
      </x:c>
      <x:c r="F33" s="17" t="n">
        <x:v>1999</x:v>
      </x:c>
      <x:c r="G33" s="17" t="str">
        <x:v>2015</x:v>
      </x:c>
      <x:c r="H33" s="20"/>
      <x:c r="I33" s="17" t="str">
        <x:v>UNREVIEWED</x:v>
      </x:c>
      <x:c r="J33" s="17" t="str">
        <x:v>UNREVIEWED</x:v>
      </x:c>
      <x:c r="K33" s="20"/>
      <x:c r="L33" s="20" t="n">
        <x:v>2026</x:v>
      </x:c>
      <x:c r="M33" s="17" t="str">
        <x:v>UNREVIEWED</x:v>
      </x:c>
      <x:c r="N33" s="17" t="str">
        <x:v>NO</x:v>
      </x:c>
      <x:c r="O33" s="17"/>
      <x:c r="P33" s="17" t="str">
        <x:v>AUD-028</x:v>
      </x:c>
      <x:c r="Q33" s="17"/>
      <x:c r="R33" s="17"/>
      <x:c r="S33" s="17"/>
      <x:c r="T33" s="17"/>
      <x:c r="U33" s="17" t="str">
        <x:v>NO</x:v>
      </x:c>
      <x:c r="V33" s="17"/>
      <x:c r="W33" s="17"/>
      <x:c r="X33" s="17" t="str">
        <x:v>Imported research lead only. Verify attribution, deadline, scope and outcome; do not inherit the legacy score. Draft category needs review.</x:v>
      </x:c>
      <x:c r="Y33" s="17" t="str">
        <x:v>AUD-028</x:v>
      </x:c>
      <x:c r="Z33" s="17" t="str">
        <x:f>IF(A33="","",IF(M33="EXCLUDED","EXCLUDED",IF(M33&lt;&gt;"VERIFIED","UNREVIEWED",IF(OR(H33="",I33="UNASSESSABLE",J33="UNASSESSABLE"),"UNSCORABLE",IF(H33&gt;=L33,IF(J33="FULL","CORRECT","PENDING"),IF(I33="FULL","CORRECT",IF(J33="FULL","LATE",IF(OR(I33="PARTIAL",J33="PARTIAL"),"PARTIAL","WRONG / MISSED"))))))))</x:f>
        <x:v>UNREVIEWED</x:v>
      </x:c>
      <x:c r="AA33" s="17" t="str">
        <x:f>IF(OR(A33="",M33&lt;&gt;"VERIFIED",H33="",K33="",J33&lt;&gt;"FULL"),"",K33-H33)</x:f>
      </x:c>
      <x:c r="AB33" s="17" t="str">
        <x:f>IF(OR(A33="",M33&lt;&gt;"VERIFIED",H33="",H33&gt;=L33,J33="FULL",J33="UNASSESSABLE"),"",L33-H33)</x:f>
      </x:c>
      <x:c r="AC33" s="17" t="n">
        <x:f>IF(AND(A33&lt;&gt;"",M33="VERIFIED",N33="YES",H33&lt;&gt;"",H33&lt;L33,I33&lt;&gt;"UNASSESSABLE",I33&lt;&gt;"UNREVIEWED",I33&lt;&gt;"NOT_DUE"),1,0)</x:f>
        <x:v>0</x:v>
      </x:c>
      <x:c r="AD33" s="17" t="n">
        <x:f>IF(AND(AC33=1,I33="FULL"),1,0)</x:f>
        <x:v>0</x:v>
      </x:c>
      <x:c r="AE33" s="17" t="n">
        <x:f>IF(AND(AC33=1,OR(I33="FULL",J33="FULL")),1,0)</x:f>
        <x:v>0</x:v>
      </x:c>
      <x:c r="AF33" s="20"/>
    </x:row>
    <x:row r="34" ht="58" customHeight="1">
      <x:c r="A34" s="17" t="str">
        <x:v>AUD-029</x:v>
      </x:c>
      <x:c r="B34" s="17" t="str">
        <x:v>Wearable biosensors (e.g. health monitors) will be common by 2010.</x:v>
      </x:c>
      <x:c r="C34" s="17" t="str">
        <x:v>Biology &amp; medicine</x:v>
      </x:c>
      <x:c r="D34" s="17" t="str">
        <x:v>Health</x:v>
      </x:c>
      <x:c r="E34" s="17" t="str">
        <x:v>*The Singularity Is Near* (2005)</x:v>
      </x:c>
      <x:c r="F34" s="17" t="n">
        <x:v>2005</x:v>
      </x:c>
      <x:c r="G34" s="17" t="str">
        <x:v>2010</x:v>
      </x:c>
      <x:c r="H34" s="20"/>
      <x:c r="I34" s="17" t="str">
        <x:v>UNREVIEWED</x:v>
      </x:c>
      <x:c r="J34" s="17" t="str">
        <x:v>UNREVIEWED</x:v>
      </x:c>
      <x:c r="K34" s="20"/>
      <x:c r="L34" s="20" t="n">
        <x:v>2026</x:v>
      </x:c>
      <x:c r="M34" s="17" t="str">
        <x:v>UNREVIEWED</x:v>
      </x:c>
      <x:c r="N34" s="17" t="str">
        <x:v>NO</x:v>
      </x:c>
      <x:c r="O34" s="17"/>
      <x:c r="P34" s="17" t="str">
        <x:v>AUD-029</x:v>
      </x:c>
      <x:c r="Q34" s="17"/>
      <x:c r="R34" s="17"/>
      <x:c r="S34" s="17"/>
      <x:c r="T34" s="17"/>
      <x:c r="U34" s="17" t="str">
        <x:v>NO</x:v>
      </x:c>
      <x:c r="V34" s="17"/>
      <x:c r="W34" s="17"/>
      <x:c r="X34" s="17" t="str">
        <x:v>Imported research lead only. Verify attribution, deadline, scope and outcome; do not inherit the legacy score. Draft category needs review.</x:v>
      </x:c>
      <x:c r="Y34" s="17" t="str">
        <x:v>AUD-029</x:v>
      </x:c>
      <x:c r="Z34" s="17" t="str">
        <x:f>IF(A34="","",IF(M34="EXCLUDED","EXCLUDED",IF(M34&lt;&gt;"VERIFIED","UNREVIEWED",IF(OR(H34="",I34="UNASSESSABLE",J34="UNASSESSABLE"),"UNSCORABLE",IF(H34&gt;=L34,IF(J34="FULL","CORRECT","PENDING"),IF(I34="FULL","CORRECT",IF(J34="FULL","LATE",IF(OR(I34="PARTIAL",J34="PARTIAL"),"PARTIAL","WRONG / MISSED"))))))))</x:f>
        <x:v>UNREVIEWED</x:v>
      </x:c>
      <x:c r="AA34" s="17" t="str">
        <x:f>IF(OR(A34="",M34&lt;&gt;"VERIFIED",H34="",K34="",J34&lt;&gt;"FULL"),"",K34-H34)</x:f>
      </x:c>
      <x:c r="AB34" s="17" t="str">
        <x:f>IF(OR(A34="",M34&lt;&gt;"VERIFIED",H34="",H34&gt;=L34,J34="FULL",J34="UNASSESSABLE"),"",L34-H34)</x:f>
      </x:c>
      <x:c r="AC34" s="17" t="n">
        <x:f>IF(AND(A34&lt;&gt;"",M34="VERIFIED",N34="YES",H34&lt;&gt;"",H34&lt;L34,I34&lt;&gt;"UNASSESSABLE",I34&lt;&gt;"UNREVIEWED",I34&lt;&gt;"NOT_DUE"),1,0)</x:f>
        <x:v>0</x:v>
      </x:c>
      <x:c r="AD34" s="17" t="n">
        <x:f>IF(AND(AC34=1,I34="FULL"),1,0)</x:f>
        <x:v>0</x:v>
      </x:c>
      <x:c r="AE34" s="17" t="n">
        <x:f>IF(AND(AC34=1,OR(I34="FULL",J34="FULL")),1,0)</x:f>
        <x:v>0</x:v>
      </x:c>
      <x:c r="AF34" s="20"/>
    </x:row>
    <x:row r="35" ht="58" customHeight="1">
      <x:c r="A35" s="17" t="str">
        <x:v>AUD-030</x:v>
      </x:c>
      <x:c r="B35" s="17" t="str">
        <x:v>Medical advances will let 100-year-olds reach 120 by 2020.</x:v>
      </x:c>
      <x:c r="C35" s="17" t="str">
        <x:v>Longevity</x:v>
      </x:c>
      <x:c r="D35" s="17" t="str">
        <x:v>Longevity</x:v>
      </x:c>
      <x:c r="E35" s="17" t="str">
        <x:v>*Transcendent Man* (film, 2009) &amp; interviews</x:v>
      </x:c>
      <x:c r="F35" s="17"/>
      <x:c r="G35" s="17" t="str">
        <x:v>2020</x:v>
      </x:c>
      <x:c r="H35" s="20"/>
      <x:c r="I35" s="17" t="str">
        <x:v>UNREVIEWED</x:v>
      </x:c>
      <x:c r="J35" s="17" t="str">
        <x:v>UNREVIEWED</x:v>
      </x:c>
      <x:c r="K35" s="20"/>
      <x:c r="L35" s="20" t="n">
        <x:v>2026</x:v>
      </x:c>
      <x:c r="M35" s="17" t="str">
        <x:v>UNREVIEWED</x:v>
      </x:c>
      <x:c r="N35" s="17" t="str">
        <x:v>NO</x:v>
      </x:c>
      <x:c r="O35" s="17"/>
      <x:c r="P35" s="17" t="str">
        <x:v>AUD-030</x:v>
      </x:c>
      <x:c r="Q35" s="17"/>
      <x:c r="R35" s="17"/>
      <x:c r="S35" s="17"/>
      <x:c r="T35" s="17"/>
      <x:c r="U35" s="17" t="str">
        <x:v>NO</x:v>
      </x:c>
      <x:c r="V35" s="17"/>
      <x:c r="W35" s="17"/>
      <x:c r="X35" s="17" t="str">
        <x:v>Imported research lead only. Verify attribution, deadline, scope and outcome; do not inherit the legacy score. Draft category needs review.</x:v>
      </x:c>
      <x:c r="Y35" s="17" t="str">
        <x:v>AUD-030</x:v>
      </x:c>
      <x:c r="Z35" s="17" t="str">
        <x:f>IF(A35="","",IF(M35="EXCLUDED","EXCLUDED",IF(M35&lt;&gt;"VERIFIED","UNREVIEWED",IF(OR(H35="",I35="UNASSESSABLE",J35="UNASSESSABLE"),"UNSCORABLE",IF(H35&gt;=L35,IF(J35="FULL","CORRECT","PENDING"),IF(I35="FULL","CORRECT",IF(J35="FULL","LATE",IF(OR(I35="PARTIAL",J35="PARTIAL"),"PARTIAL","WRONG / MISSED"))))))))</x:f>
        <x:v>UNREVIEWED</x:v>
      </x:c>
      <x:c r="AA35" s="17" t="str">
        <x:f>IF(OR(A35="",M35&lt;&gt;"VERIFIED",H35="",K35="",J35&lt;&gt;"FULL"),"",K35-H35)</x:f>
      </x:c>
      <x:c r="AB35" s="17" t="str">
        <x:f>IF(OR(A35="",M35&lt;&gt;"VERIFIED",H35="",H35&gt;=L35,J35="FULL",J35="UNASSESSABLE"),"",L35-H35)</x:f>
      </x:c>
      <x:c r="AC35" s="17" t="n">
        <x:f>IF(AND(A35&lt;&gt;"",M35="VERIFIED",N35="YES",H35&lt;&gt;"",H35&lt;L35,I35&lt;&gt;"UNASSESSABLE",I35&lt;&gt;"UNREVIEWED",I35&lt;&gt;"NOT_DUE"),1,0)</x:f>
        <x:v>0</x:v>
      </x:c>
      <x:c r="AD35" s="17" t="n">
        <x:f>IF(AND(AC35=1,I35="FULL"),1,0)</x:f>
        <x:v>0</x:v>
      </x:c>
      <x:c r="AE35" s="17" t="n">
        <x:f>IF(AND(AC35=1,OR(I35="FULL",J35="FULL")),1,0)</x:f>
        <x:v>0</x:v>
      </x:c>
      <x:c r="AF35" s="20"/>
    </x:row>
    <x:row r="36" ht="58" customHeight="1">
      <x:c r="A36" s="17" t="str">
        <x:v>DEC-001</x:v>
      </x:c>
      <x:c r="B36" s="17" t="str">
        <x:v>Computer will beat world chess champion by 2000</x:v>
      </x:c>
      <x:c r="C36" s="17" t="str">
        <x:v>AI &amp; software</x:v>
      </x:c>
      <x:c r="D36" s="17" t="str">
        <x:v>AI</x:v>
      </x:c>
      <x:c r="E36" s="17" t="str">
        <x:v>The Age of Intelligent Machines (1990)</x:v>
      </x:c>
      <x:c r="F36" s="17" t="n">
        <x:v>1990</x:v>
      </x:c>
      <x:c r="G36" s="17" t="str">
        <x:v>2000</x:v>
      </x:c>
      <x:c r="H36" s="20"/>
      <x:c r="I36" s="17" t="str">
        <x:v>UNREVIEWED</x:v>
      </x:c>
      <x:c r="J36" s="17" t="str">
        <x:v>UNREVIEWED</x:v>
      </x:c>
      <x:c r="K36" s="20"/>
      <x:c r="L36" s="20" t="n">
        <x:v>2026</x:v>
      </x:c>
      <x:c r="M36" s="17" t="str">
        <x:v>UNREVIEWED</x:v>
      </x:c>
      <x:c r="N36" s="17" t="str">
        <x:v>NO</x:v>
      </x:c>
      <x:c r="O36" s="17"/>
      <x:c r="P36" s="17" t="str">
        <x:v>DEC-001</x:v>
      </x:c>
      <x:c r="Q36" s="17"/>
      <x:c r="R36" s="17"/>
      <x:c r="S36" s="17"/>
      <x:c r="T36" s="17"/>
      <x:c r="U36" s="17" t="str">
        <x:v>NO</x:v>
      </x:c>
      <x:c r="V36" s="17"/>
      <x:c r="W36" s="17"/>
      <x:c r="X36" s="17" t="str">
        <x:v>Imported research lead only. Verify attribution, deadline, scope and outcome; do not inherit the legacy score. Draft category needs review.</x:v>
      </x:c>
      <x:c r="Y36" s="17" t="str">
        <x:v>DEC-001</x:v>
      </x:c>
      <x:c r="Z36" s="17" t="str">
        <x:f>IF(A36="","",IF(M36="EXCLUDED","EXCLUDED",IF(M36&lt;&gt;"VERIFIED","UNREVIEWED",IF(OR(H36="",I36="UNASSESSABLE",J36="UNASSESSABLE"),"UNSCORABLE",IF(H36&gt;=L36,IF(J36="FULL","CORRECT","PENDING"),IF(I36="FULL","CORRECT",IF(J36="FULL","LATE",IF(OR(I36="PARTIAL",J36="PARTIAL"),"PARTIAL","WRONG / MISSED"))))))))</x:f>
        <x:v>UNREVIEWED</x:v>
      </x:c>
      <x:c r="AA36" s="17" t="str">
        <x:f>IF(OR(A36="",M36&lt;&gt;"VERIFIED",H36="",K36="",J36&lt;&gt;"FULL"),"",K36-H36)</x:f>
      </x:c>
      <x:c r="AB36" s="17" t="str">
        <x:f>IF(OR(A36="",M36&lt;&gt;"VERIFIED",H36="",H36&gt;=L36,J36="FULL",J36="UNASSESSABLE"),"",L36-H36)</x:f>
      </x:c>
      <x:c r="AC36" s="17" t="n">
        <x:f>IF(AND(A36&lt;&gt;"",M36="VERIFIED",N36="YES",H36&lt;&gt;"",H36&lt;L36,I36&lt;&gt;"UNASSESSABLE",I36&lt;&gt;"UNREVIEWED",I36&lt;&gt;"NOT_DUE"),1,0)</x:f>
        <x:v>0</x:v>
      </x:c>
      <x:c r="AD36" s="17" t="n">
        <x:f>IF(AND(AC36=1,I36="FULL"),1,0)</x:f>
        <x:v>0</x:v>
      </x:c>
      <x:c r="AE36" s="17" t="n">
        <x:f>IF(AND(AC36=1,OR(I36="FULL",J36="FULL")),1,0)</x:f>
        <x:v>0</x:v>
      </x:c>
      <x:c r="AF36" s="20"/>
    </x:row>
    <x:row r="37" ht="58" customHeight="1">
      <x:c r="A37" s="17" t="str">
        <x:v>DEC-002</x:v>
      </x:c>
      <x:c r="B37" s="17" t="str">
        <x:v>Authoritarian regimes will collapse as tech spreads</x:v>
      </x:c>
      <x:c r="C37" s="17" t="str">
        <x:v>Economy &amp; society</x:v>
      </x:c>
      <x:c r="D37" s="17" t="str">
        <x:v>Society</x:v>
      </x:c>
      <x:c r="E37" s="17" t="str">
        <x:v>The Age of Intelligent Machines (1990)</x:v>
      </x:c>
      <x:c r="F37" s="17" t="n">
        <x:v>1990</x:v>
      </x:c>
      <x:c r="G37" s="17" t="str">
        <x:v>1990s</x:v>
      </x:c>
      <x:c r="H37" s="20"/>
      <x:c r="I37" s="17" t="str">
        <x:v>UNREVIEWED</x:v>
      </x:c>
      <x:c r="J37" s="17" t="str">
        <x:v>UNREVIEWED</x:v>
      </x:c>
      <x:c r="K37" s="20"/>
      <x:c r="L37" s="20" t="n">
        <x:v>2026</x:v>
      </x:c>
      <x:c r="M37" s="17" t="str">
        <x:v>UNREVIEWED</x:v>
      </x:c>
      <x:c r="N37" s="17" t="str">
        <x:v>NO</x:v>
      </x:c>
      <x:c r="O37" s="17"/>
      <x:c r="P37" s="17" t="str">
        <x:v>DEC-002</x:v>
      </x:c>
      <x:c r="Q37" s="17"/>
      <x:c r="R37" s="17"/>
      <x:c r="S37" s="17"/>
      <x:c r="T37" s="17"/>
      <x:c r="U37" s="17" t="str">
        <x:v>NO</x:v>
      </x:c>
      <x:c r="V37" s="17"/>
      <x:c r="W37" s="17"/>
      <x:c r="X37" s="17" t="str">
        <x:v>Imported research lead only. Verify attribution, deadline, scope and outcome; do not inherit the legacy score. Draft category needs review.</x:v>
      </x:c>
      <x:c r="Y37" s="17" t="str">
        <x:v>DEC-002</x:v>
      </x:c>
      <x:c r="Z37" s="17" t="str">
        <x:f>IF(A37="","",IF(M37="EXCLUDED","EXCLUDED",IF(M37&lt;&gt;"VERIFIED","UNREVIEWED",IF(OR(H37="",I37="UNASSESSABLE",J37="UNASSESSABLE"),"UNSCORABLE",IF(H37&gt;=L37,IF(J37="FULL","CORRECT","PENDING"),IF(I37="FULL","CORRECT",IF(J37="FULL","LATE",IF(OR(I37="PARTIAL",J37="PARTIAL"),"PARTIAL","WRONG / MISSED"))))))))</x:f>
        <x:v>UNREVIEWED</x:v>
      </x:c>
      <x:c r="AA37" s="17" t="str">
        <x:f>IF(OR(A37="",M37&lt;&gt;"VERIFIED",H37="",K37="",J37&lt;&gt;"FULL"),"",K37-H37)</x:f>
      </x:c>
      <x:c r="AB37" s="17" t="str">
        <x:f>IF(OR(A37="",M37&lt;&gt;"VERIFIED",H37="",H37&gt;=L37,J37="FULL",J37="UNASSESSABLE"),"",L37-H37)</x:f>
      </x:c>
      <x:c r="AC37" s="17" t="n">
        <x:f>IF(AND(A37&lt;&gt;"",M37="VERIFIED",N37="YES",H37&lt;&gt;"",H37&lt;L37,I37&lt;&gt;"UNASSESSABLE",I37&lt;&gt;"UNREVIEWED",I37&lt;&gt;"NOT_DUE"),1,0)</x:f>
        <x:v>0</x:v>
      </x:c>
      <x:c r="AD37" s="17" t="n">
        <x:f>IF(AND(AC37=1,I37="FULL"),1,0)</x:f>
        <x:v>0</x:v>
      </x:c>
      <x:c r="AE37" s="17" t="n">
        <x:f>IF(AND(AC37=1,OR(I37="FULL",J37="FULL")),1,0)</x:f>
        <x:v>0</x:v>
      </x:c>
      <x:c r="AF37" s="20"/>
    </x:row>
    <x:row r="38" ht="58" customHeight="1">
      <x:c r="A38" s="17" t="str">
        <x:v>DEC-003</x:v>
      </x:c>
      <x:c r="B38" s="17" t="str">
        <x:v>Internet will explode in users and content</x:v>
      </x:c>
      <x:c r="C38" s="17" t="str">
        <x:v>Computing hardware</x:v>
      </x:c>
      <x:c r="D38" s="17" t="str">
        <x:v>Computing</x:v>
      </x:c>
      <x:c r="E38" s="17" t="str">
        <x:v>The Age of Intelligent Machines (1990)</x:v>
      </x:c>
      <x:c r="F38" s="17" t="n">
        <x:v>1990</x:v>
      </x:c>
      <x:c r="G38" s="17" t="str">
        <x:v>2000s</x:v>
      </x:c>
      <x:c r="H38" s="20"/>
      <x:c r="I38" s="17" t="str">
        <x:v>UNREVIEWED</x:v>
      </x:c>
      <x:c r="J38" s="17" t="str">
        <x:v>UNREVIEWED</x:v>
      </x:c>
      <x:c r="K38" s="20"/>
      <x:c r="L38" s="20" t="n">
        <x:v>2026</x:v>
      </x:c>
      <x:c r="M38" s="17" t="str">
        <x:v>UNREVIEWED</x:v>
      </x:c>
      <x:c r="N38" s="17" t="str">
        <x:v>NO</x:v>
      </x:c>
      <x:c r="O38" s="17"/>
      <x:c r="P38" s="17" t="str">
        <x:v>DEC-003</x:v>
      </x:c>
      <x:c r="Q38" s="17"/>
      <x:c r="R38" s="17"/>
      <x:c r="S38" s="17"/>
      <x:c r="T38" s="17"/>
      <x:c r="U38" s="17" t="str">
        <x:v>NO</x:v>
      </x:c>
      <x:c r="V38" s="17"/>
      <x:c r="W38" s="17"/>
      <x:c r="X38" s="17" t="str">
        <x:v>Imported research lead only. Verify attribution, deadline, scope and outcome; do not inherit the legacy score. Draft category needs review.</x:v>
      </x:c>
      <x:c r="Y38" s="17" t="str">
        <x:v>DEC-003</x:v>
      </x:c>
      <x:c r="Z38" s="17" t="str">
        <x:f>IF(A38="","",IF(M38="EXCLUDED","EXCLUDED",IF(M38&lt;&gt;"VERIFIED","UNREVIEWED",IF(OR(H38="",I38="UNASSESSABLE",J38="UNASSESSABLE"),"UNSCORABLE",IF(H38&gt;=L38,IF(J38="FULL","CORRECT","PENDING"),IF(I38="FULL","CORRECT",IF(J38="FULL","LATE",IF(OR(I38="PARTIAL",J38="PARTIAL"),"PARTIAL","WRONG / MISSED"))))))))</x:f>
        <x:v>UNREVIEWED</x:v>
      </x:c>
      <x:c r="AA38" s="17" t="str">
        <x:f>IF(OR(A38="",M38&lt;&gt;"VERIFIED",H38="",K38="",J38&lt;&gt;"FULL"),"",K38-H38)</x:f>
      </x:c>
      <x:c r="AB38" s="17" t="str">
        <x:f>IF(OR(A38="",M38&lt;&gt;"VERIFIED",H38="",H38&gt;=L38,J38="FULL",J38="UNASSESSABLE"),"",L38-H38)</x:f>
      </x:c>
      <x:c r="AC38" s="17" t="n">
        <x:f>IF(AND(A38&lt;&gt;"",M38="VERIFIED",N38="YES",H38&lt;&gt;"",H38&lt;L38,I38&lt;&gt;"UNASSESSABLE",I38&lt;&gt;"UNREVIEWED",I38&lt;&gt;"NOT_DUE"),1,0)</x:f>
        <x:v>0</x:v>
      </x:c>
      <x:c r="AD38" s="17" t="n">
        <x:f>IF(AND(AC38=1,I38="FULL"),1,0)</x:f>
        <x:v>0</x:v>
      </x:c>
      <x:c r="AE38" s="17" t="n">
        <x:f>IF(AND(AC38=1,OR(I38="FULL",J38="FULL")),1,0)</x:f>
        <x:v>0</x:v>
      </x:c>
      <x:c r="AF38" s="20"/>
    </x:row>
    <x:row r="39" ht="58" customHeight="1">
      <x:c r="A39" s="17" t="str">
        <x:v>DEC-004</x:v>
      </x:c>
      <x:c r="B39" s="17" t="str">
        <x:v>Wireless access becomes dominant by early 21st century</x:v>
      </x:c>
      <x:c r="C39" s="17" t="str">
        <x:v>Computing hardware</x:v>
      </x:c>
      <x:c r="D39" s="17" t="str">
        <x:v>Computing</x:v>
      </x:c>
      <x:c r="E39" s="17" t="str">
        <x:v>The Age of Intelligent Machines (1990)</x:v>
      </x:c>
      <x:c r="F39" s="17" t="n">
        <x:v>1990</x:v>
      </x:c>
      <x:c r="G39" s="17" t="str">
        <x:v>~2010</x:v>
      </x:c>
      <x:c r="H39" s="20"/>
      <x:c r="I39" s="17" t="str">
        <x:v>UNREVIEWED</x:v>
      </x:c>
      <x:c r="J39" s="17" t="str">
        <x:v>UNREVIEWED</x:v>
      </x:c>
      <x:c r="K39" s="20"/>
      <x:c r="L39" s="20" t="n">
        <x:v>2026</x:v>
      </x:c>
      <x:c r="M39" s="17" t="str">
        <x:v>UNREVIEWED</x:v>
      </x:c>
      <x:c r="N39" s="17" t="str">
        <x:v>NO</x:v>
      </x:c>
      <x:c r="O39" s="17"/>
      <x:c r="P39" s="17" t="str">
        <x:v>DEC-004</x:v>
      </x:c>
      <x:c r="Q39" s="17"/>
      <x:c r="R39" s="17"/>
      <x:c r="S39" s="17"/>
      <x:c r="T39" s="17"/>
      <x:c r="U39" s="17" t="str">
        <x:v>NO</x:v>
      </x:c>
      <x:c r="V39" s="17"/>
      <x:c r="W39" s="17"/>
      <x:c r="X39" s="17" t="str">
        <x:v>Imported research lead only. Verify attribution, deadline, scope and outcome; do not inherit the legacy score. Draft category needs review.</x:v>
      </x:c>
      <x:c r="Y39" s="17" t="str">
        <x:v>DEC-004</x:v>
      </x:c>
      <x:c r="Z39" s="17" t="str">
        <x:f>IF(A39="","",IF(M39="EXCLUDED","EXCLUDED",IF(M39&lt;&gt;"VERIFIED","UNREVIEWED",IF(OR(H39="",I39="UNASSESSABLE",J39="UNASSESSABLE"),"UNSCORABLE",IF(H39&gt;=L39,IF(J39="FULL","CORRECT","PENDING"),IF(I39="FULL","CORRECT",IF(J39="FULL","LATE",IF(OR(I39="PARTIAL",J39="PARTIAL"),"PARTIAL","WRONG / MISSED"))))))))</x:f>
        <x:v>UNREVIEWED</x:v>
      </x:c>
      <x:c r="AA39" s="17" t="str">
        <x:f>IF(OR(A39="",M39&lt;&gt;"VERIFIED",H39="",K39="",J39&lt;&gt;"FULL"),"",K39-H39)</x:f>
      </x:c>
      <x:c r="AB39" s="17" t="str">
        <x:f>IF(OR(A39="",M39&lt;&gt;"VERIFIED",H39="",H39&gt;=L39,J39="FULL",J39="UNASSESSABLE"),"",L39-H39)</x:f>
      </x:c>
      <x:c r="AC39" s="17" t="n">
        <x:f>IF(AND(A39&lt;&gt;"",M39="VERIFIED",N39="YES",H39&lt;&gt;"",H39&lt;L39,I39&lt;&gt;"UNASSESSABLE",I39&lt;&gt;"UNREVIEWED",I39&lt;&gt;"NOT_DUE"),1,0)</x:f>
        <x:v>0</x:v>
      </x:c>
      <x:c r="AD39" s="17" t="n">
        <x:f>IF(AND(AC39=1,I39="FULL"),1,0)</x:f>
        <x:v>0</x:v>
      </x:c>
      <x:c r="AE39" s="17" t="n">
        <x:f>IF(AND(AC39=1,OR(I39="FULL",J39="FULL")),1,0)</x:f>
        <x:v>0</x:v>
      </x:c>
      <x:c r="AF39" s="20"/>
    </x:row>
    <x:row r="40" ht="58" customHeight="1">
      <x:c r="A40" s="17" t="str">
        <x:v>DEC-005</x:v>
      </x:c>
      <x:c r="B40" s="17" t="str">
        <x:v>Digital music distribution replaces CDs by 2000s</x:v>
      </x:c>
      <x:c r="C40" s="17" t="str">
        <x:v>Media, education &amp; culture</x:v>
      </x:c>
      <x:c r="D40" s="17" t="str">
        <x:v>Media</x:v>
      </x:c>
      <x:c r="E40" s="17" t="str">
        <x:v>The Age of Intelligent Machines (1990)</x:v>
      </x:c>
      <x:c r="F40" s="17" t="n">
        <x:v>1990</x:v>
      </x:c>
      <x:c r="G40" s="17" t="str">
        <x:v>2000s</x:v>
      </x:c>
      <x:c r="H40" s="20"/>
      <x:c r="I40" s="17" t="str">
        <x:v>UNREVIEWED</x:v>
      </x:c>
      <x:c r="J40" s="17" t="str">
        <x:v>UNREVIEWED</x:v>
      </x:c>
      <x:c r="K40" s="20"/>
      <x:c r="L40" s="20" t="n">
        <x:v>2026</x:v>
      </x:c>
      <x:c r="M40" s="17" t="str">
        <x:v>UNREVIEWED</x:v>
      </x:c>
      <x:c r="N40" s="17" t="str">
        <x:v>NO</x:v>
      </x:c>
      <x:c r="O40" s="17"/>
      <x:c r="P40" s="17" t="str">
        <x:v>DEC-005</x:v>
      </x:c>
      <x:c r="Q40" s="17"/>
      <x:c r="R40" s="17"/>
      <x:c r="S40" s="17"/>
      <x:c r="T40" s="17"/>
      <x:c r="U40" s="17" t="str">
        <x:v>NO</x:v>
      </x:c>
      <x:c r="V40" s="17"/>
      <x:c r="W40" s="17"/>
      <x:c r="X40" s="17" t="str">
        <x:v>Imported research lead only. Verify attribution, deadline, scope and outcome; do not inherit the legacy score. Draft category needs review.</x:v>
      </x:c>
      <x:c r="Y40" s="17" t="str">
        <x:v>DEC-005</x:v>
      </x:c>
      <x:c r="Z40" s="17" t="str">
        <x:f>IF(A40="","",IF(M40="EXCLUDED","EXCLUDED",IF(M40&lt;&gt;"VERIFIED","UNREVIEWED",IF(OR(H40="",I40="UNASSESSABLE",J40="UNASSESSABLE"),"UNSCORABLE",IF(H40&gt;=L40,IF(J40="FULL","CORRECT","PENDING"),IF(I40="FULL","CORRECT",IF(J40="FULL","LATE",IF(OR(I40="PARTIAL",J40="PARTIAL"),"PARTIAL","WRONG / MISSED"))))))))</x:f>
        <x:v>UNREVIEWED</x:v>
      </x:c>
      <x:c r="AA40" s="17" t="str">
        <x:f>IF(OR(A40="",M40&lt;&gt;"VERIFIED",H40="",K40="",J40&lt;&gt;"FULL"),"",K40-H40)</x:f>
      </x:c>
      <x:c r="AB40" s="17" t="str">
        <x:f>IF(OR(A40="",M40&lt;&gt;"VERIFIED",H40="",H40&gt;=L40,J40="FULL",J40="UNASSESSABLE"),"",L40-H40)</x:f>
      </x:c>
      <x:c r="AC40" s="17" t="n">
        <x:f>IF(AND(A40&lt;&gt;"",M40="VERIFIED",N40="YES",H40&lt;&gt;"",H40&lt;L40,I40&lt;&gt;"UNASSESSABLE",I40&lt;&gt;"UNREVIEWED",I40&lt;&gt;"NOT_DUE"),1,0)</x:f>
        <x:v>0</x:v>
      </x:c>
      <x:c r="AD40" s="17" t="n">
        <x:f>IF(AND(AC40=1,I40="FULL"),1,0)</x:f>
        <x:v>0</x:v>
      </x:c>
      <x:c r="AE40" s="17" t="n">
        <x:f>IF(AND(AC40=1,OR(I40="FULL",J40="FULL")),1,0)</x:f>
        <x:v>0</x:v>
      </x:c>
      <x:c r="AF40" s="20"/>
    </x:row>
    <x:row r="41" ht="58" customHeight="1">
      <x:c r="A41" s="17" t="str">
        <x:v>DEC-006</x:v>
      </x:c>
      <x:c r="B41" s="17" t="str">
        <x:v>Digital cameras displace film by 2000</x:v>
      </x:c>
      <x:c r="C41" s="17" t="str">
        <x:v>Computing hardware</x:v>
      </x:c>
      <x:c r="D41" s="17" t="str">
        <x:v>Hardware</x:v>
      </x:c>
      <x:c r="E41" s="17" t="str">
        <x:v>The Age of Intelligent Machines (1990)</x:v>
      </x:c>
      <x:c r="F41" s="17" t="n">
        <x:v>1990</x:v>
      </x:c>
      <x:c r="G41" s="17" t="str">
        <x:v>2000s</x:v>
      </x:c>
      <x:c r="H41" s="20"/>
      <x:c r="I41" s="17" t="str">
        <x:v>UNREVIEWED</x:v>
      </x:c>
      <x:c r="J41" s="17" t="str">
        <x:v>UNREVIEWED</x:v>
      </x:c>
      <x:c r="K41" s="20"/>
      <x:c r="L41" s="20" t="n">
        <x:v>2026</x:v>
      </x:c>
      <x:c r="M41" s="17" t="str">
        <x:v>UNREVIEWED</x:v>
      </x:c>
      <x:c r="N41" s="17" t="str">
        <x:v>NO</x:v>
      </x:c>
      <x:c r="O41" s="17"/>
      <x:c r="P41" s="17" t="str">
        <x:v>DEC-006</x:v>
      </x:c>
      <x:c r="Q41" s="17"/>
      <x:c r="R41" s="17"/>
      <x:c r="S41" s="17"/>
      <x:c r="T41" s="17"/>
      <x:c r="U41" s="17" t="str">
        <x:v>NO</x:v>
      </x:c>
      <x:c r="V41" s="17"/>
      <x:c r="W41" s="17"/>
      <x:c r="X41" s="17" t="str">
        <x:v>Imported research lead only. Verify attribution, deadline, scope and outcome; do not inherit the legacy score. Draft category needs review.</x:v>
      </x:c>
      <x:c r="Y41" s="17" t="str">
        <x:v>DEC-006</x:v>
      </x:c>
      <x:c r="Z41" s="17" t="str">
        <x:f>IF(A41="","",IF(M41="EXCLUDED","EXCLUDED",IF(M41&lt;&gt;"VERIFIED","UNREVIEWED",IF(OR(H41="",I41="UNASSESSABLE",J41="UNASSESSABLE"),"UNSCORABLE",IF(H41&gt;=L41,IF(J41="FULL","CORRECT","PENDING"),IF(I41="FULL","CORRECT",IF(J41="FULL","LATE",IF(OR(I41="PARTIAL",J41="PARTIAL"),"PARTIAL","WRONG / MISSED"))))))))</x:f>
        <x:v>UNREVIEWED</x:v>
      </x:c>
      <x:c r="AA41" s="17" t="str">
        <x:f>IF(OR(A41="",M41&lt;&gt;"VERIFIED",H41="",K41="",J41&lt;&gt;"FULL"),"",K41-H41)</x:f>
      </x:c>
      <x:c r="AB41" s="17" t="str">
        <x:f>IF(OR(A41="",M41&lt;&gt;"VERIFIED",H41="",H41&gt;=L41,J41="FULL",J41="UNASSESSABLE"),"",L41-H41)</x:f>
      </x:c>
      <x:c r="AC41" s="17" t="n">
        <x:f>IF(AND(A41&lt;&gt;"",M41="VERIFIED",N41="YES",H41&lt;&gt;"",H41&lt;L41,I41&lt;&gt;"UNASSESSABLE",I41&lt;&gt;"UNREVIEWED",I41&lt;&gt;"NOT_DUE"),1,0)</x:f>
        <x:v>0</x:v>
      </x:c>
      <x:c r="AD41" s="17" t="n">
        <x:f>IF(AND(AC41=1,I41="FULL"),1,0)</x:f>
        <x:v>0</x:v>
      </x:c>
      <x:c r="AE41" s="17" t="n">
        <x:f>IF(AND(AC41=1,OR(I41="FULL",J41="FULL")),1,0)</x:f>
        <x:v>0</x:v>
      </x:c>
      <x:c r="AF41" s="20"/>
    </x:row>
    <x:row r="42" ht="58" customHeight="1">
      <x:c r="A42" s="17" t="str">
        <x:v>DEC-007</x:v>
      </x:c>
      <x:c r="B42" s="17" t="str">
        <x:v>Personal assistant AIs in daily use by 2010</x:v>
      </x:c>
      <x:c r="C42" s="17" t="str">
        <x:v>AI &amp; software</x:v>
      </x:c>
      <x:c r="D42" s="17" t="str">
        <x:v>AI</x:v>
      </x:c>
      <x:c r="E42" s="17" t="str">
        <x:v>Age of Intelligent Machines (1990)</x:v>
      </x:c>
      <x:c r="F42" s="17" t="n">
        <x:v>1990</x:v>
      </x:c>
      <x:c r="G42" s="17" t="str">
        <x:v>2010</x:v>
      </x:c>
      <x:c r="H42" s="20"/>
      <x:c r="I42" s="17" t="str">
        <x:v>UNREVIEWED</x:v>
      </x:c>
      <x:c r="J42" s="17" t="str">
        <x:v>UNREVIEWED</x:v>
      </x:c>
      <x:c r="K42" s="20"/>
      <x:c r="L42" s="20" t="n">
        <x:v>2026</x:v>
      </x:c>
      <x:c r="M42" s="17" t="str">
        <x:v>UNREVIEWED</x:v>
      </x:c>
      <x:c r="N42" s="17" t="str">
        <x:v>NO</x:v>
      </x:c>
      <x:c r="O42" s="17"/>
      <x:c r="P42" s="17" t="str">
        <x:v>DEC-007</x:v>
      </x:c>
      <x:c r="Q42" s="17"/>
      <x:c r="R42" s="17"/>
      <x:c r="S42" s="17"/>
      <x:c r="T42" s="17"/>
      <x:c r="U42" s="17" t="str">
        <x:v>NO</x:v>
      </x:c>
      <x:c r="V42" s="17"/>
      <x:c r="W42" s="17"/>
      <x:c r="X42" s="17" t="str">
        <x:v>Imported research lead only. Verify attribution, deadline, scope and outcome; do not inherit the legacy score. Draft category needs review. Legacy on-time/achieved label may conflict with its positive drift.</x:v>
      </x:c>
      <x:c r="Y42" s="17" t="str">
        <x:v>DEC-007</x:v>
      </x:c>
      <x:c r="Z42" s="17" t="str">
        <x:f>IF(A42="","",IF(M42="EXCLUDED","EXCLUDED",IF(M42&lt;&gt;"VERIFIED","UNREVIEWED",IF(OR(H42="",I42="UNASSESSABLE",J42="UNASSESSABLE"),"UNSCORABLE",IF(H42&gt;=L42,IF(J42="FULL","CORRECT","PENDING"),IF(I42="FULL","CORRECT",IF(J42="FULL","LATE",IF(OR(I42="PARTIAL",J42="PARTIAL"),"PARTIAL","WRONG / MISSED"))))))))</x:f>
        <x:v>UNREVIEWED</x:v>
      </x:c>
      <x:c r="AA42" s="17" t="str">
        <x:f>IF(OR(A42="",M42&lt;&gt;"VERIFIED",H42="",K42="",J42&lt;&gt;"FULL"),"",K42-H42)</x:f>
      </x:c>
      <x:c r="AB42" s="17" t="str">
        <x:f>IF(OR(A42="",M42&lt;&gt;"VERIFIED",H42="",H42&gt;=L42,J42="FULL",J42="UNASSESSABLE"),"",L42-H42)</x:f>
      </x:c>
      <x:c r="AC42" s="17" t="n">
        <x:f>IF(AND(A42&lt;&gt;"",M42="VERIFIED",N42="YES",H42&lt;&gt;"",H42&lt;L42,I42&lt;&gt;"UNASSESSABLE",I42&lt;&gt;"UNREVIEWED",I42&lt;&gt;"NOT_DUE"),1,0)</x:f>
        <x:v>0</x:v>
      </x:c>
      <x:c r="AD42" s="17" t="n">
        <x:f>IF(AND(AC42=1,I42="FULL"),1,0)</x:f>
        <x:v>0</x:v>
      </x:c>
      <x:c r="AE42" s="17" t="n">
        <x:f>IF(AND(AC42=1,OR(I42="FULL",J42="FULL")),1,0)</x:f>
        <x:v>0</x:v>
      </x:c>
      <x:c r="AF42" s="20"/>
    </x:row>
    <x:row r="43" ht="58" customHeight="1">
      <x:c r="A43" s="17" t="str">
        <x:v>DEC-008</x:v>
      </x:c>
      <x:c r="B43" s="17" t="str">
        <x:v>Real-time language translation phones by 2000s</x:v>
      </x:c>
      <x:c r="C43" s="17" t="str">
        <x:v>AI &amp; software</x:v>
      </x:c>
      <x:c r="D43" s="17" t="str">
        <x:v>AI</x:v>
      </x:c>
      <x:c r="E43" s="17" t="str">
        <x:v>The Age of Intelligent Machines (1990)</x:v>
      </x:c>
      <x:c r="F43" s="17" t="n">
        <x:v>1990</x:v>
      </x:c>
      <x:c r="G43" s="17" t="str">
        <x:v>2000s</x:v>
      </x:c>
      <x:c r="H43" s="20"/>
      <x:c r="I43" s="17" t="str">
        <x:v>UNREVIEWED</x:v>
      </x:c>
      <x:c r="J43" s="17" t="str">
        <x:v>UNREVIEWED</x:v>
      </x:c>
      <x:c r="K43" s="20"/>
      <x:c r="L43" s="20" t="n">
        <x:v>2026</x:v>
      </x:c>
      <x:c r="M43" s="17" t="str">
        <x:v>UNREVIEWED</x:v>
      </x:c>
      <x:c r="N43" s="17" t="str">
        <x:v>NO</x:v>
      </x:c>
      <x:c r="O43" s="17"/>
      <x:c r="P43" s="17" t="str">
        <x:v>DEC-008</x:v>
      </x:c>
      <x:c r="Q43" s="17"/>
      <x:c r="R43" s="17"/>
      <x:c r="S43" s="17"/>
      <x:c r="T43" s="17"/>
      <x:c r="U43" s="17" t="str">
        <x:v>NO</x:v>
      </x:c>
      <x:c r="V43" s="17"/>
      <x:c r="W43" s="17"/>
      <x:c r="X43" s="17" t="str">
        <x:v>Imported research lead only. Verify attribution, deadline, scope and outcome; do not inherit the legacy score. Draft category needs review.</x:v>
      </x:c>
      <x:c r="Y43" s="17" t="str">
        <x:v>DEC-008</x:v>
      </x:c>
      <x:c r="Z43" s="17" t="str">
        <x:f>IF(A43="","",IF(M43="EXCLUDED","EXCLUDED",IF(M43&lt;&gt;"VERIFIED","UNREVIEWED",IF(OR(H43="",I43="UNASSESSABLE",J43="UNASSESSABLE"),"UNSCORABLE",IF(H43&gt;=L43,IF(J43="FULL","CORRECT","PENDING"),IF(I43="FULL","CORRECT",IF(J43="FULL","LATE",IF(OR(I43="PARTIAL",J43="PARTIAL"),"PARTIAL","WRONG / MISSED"))))))))</x:f>
        <x:v>UNREVIEWED</x:v>
      </x:c>
      <x:c r="AA43" s="17" t="str">
        <x:f>IF(OR(A43="",M43&lt;&gt;"VERIFIED",H43="",K43="",J43&lt;&gt;"FULL"),"",K43-H43)</x:f>
      </x:c>
      <x:c r="AB43" s="17" t="str">
        <x:f>IF(OR(A43="",M43&lt;&gt;"VERIFIED",H43="",H43&gt;=L43,J43="FULL",J43="UNASSESSABLE"),"",L43-H43)</x:f>
      </x:c>
      <x:c r="AC43" s="17" t="n">
        <x:f>IF(AND(A43&lt;&gt;"",M43="VERIFIED",N43="YES",H43&lt;&gt;"",H43&lt;L43,I43&lt;&gt;"UNASSESSABLE",I43&lt;&gt;"UNREVIEWED",I43&lt;&gt;"NOT_DUE"),1,0)</x:f>
        <x:v>0</x:v>
      </x:c>
      <x:c r="AD43" s="17" t="n">
        <x:f>IF(AND(AC43=1,I43="FULL"),1,0)</x:f>
        <x:v>0</x:v>
      </x:c>
      <x:c r="AE43" s="17" t="n">
        <x:f>IF(AND(AC43=1,OR(I43="FULL",J43="FULL")),1,0)</x:f>
        <x:v>0</x:v>
      </x:c>
      <x:c r="AF43" s="20"/>
    </x:row>
    <x:row r="44" ht="58" customHeight="1">
      <x:c r="A44" s="17" t="str">
        <x:v>DEC-009</x:v>
      </x:c>
      <x:c r="B44" s="17" t="str">
        <x:v>Autonomous cars by 2000s</x:v>
      </x:c>
      <x:c r="C44" s="17" t="str">
        <x:v>Robotics &amp; transportation</x:v>
      </x:c>
      <x:c r="D44" s="17" t="str">
        <x:v>Robotics</x:v>
      </x:c>
      <x:c r="E44" s="17" t="str">
        <x:v>The Age of Intelligent Machines (1990)</x:v>
      </x:c>
      <x:c r="F44" s="17" t="n">
        <x:v>1990</x:v>
      </x:c>
      <x:c r="G44" s="17" t="str">
        <x:v>2009</x:v>
      </x:c>
      <x:c r="H44" s="20"/>
      <x:c r="I44" s="17" t="str">
        <x:v>UNREVIEWED</x:v>
      </x:c>
      <x:c r="J44" s="17" t="str">
        <x:v>UNREVIEWED</x:v>
      </x:c>
      <x:c r="K44" s="20"/>
      <x:c r="L44" s="20" t="n">
        <x:v>2026</x:v>
      </x:c>
      <x:c r="M44" s="17" t="str">
        <x:v>UNREVIEWED</x:v>
      </x:c>
      <x:c r="N44" s="17" t="str">
        <x:v>NO</x:v>
      </x:c>
      <x:c r="O44" s="17"/>
      <x:c r="P44" s="17" t="str">
        <x:v>DEC-009</x:v>
      </x:c>
      <x:c r="Q44" s="17"/>
      <x:c r="R44" s="17"/>
      <x:c r="S44" s="17"/>
      <x:c r="T44" s="17"/>
      <x:c r="U44" s="17" t="str">
        <x:v>NO</x:v>
      </x:c>
      <x:c r="V44" s="17"/>
      <x:c r="W44" s="17"/>
      <x:c r="X44" s="17" t="str">
        <x:v>Imported research lead only. Verify attribution, deadline, scope and outcome; do not inherit the legacy score. Draft category needs review.</x:v>
      </x:c>
      <x:c r="Y44" s="17" t="str">
        <x:v>DEC-009</x:v>
      </x:c>
      <x:c r="Z44" s="17" t="str">
        <x:f>IF(A44="","",IF(M44="EXCLUDED","EXCLUDED",IF(M44&lt;&gt;"VERIFIED","UNREVIEWED",IF(OR(H44="",I44="UNASSESSABLE",J44="UNASSESSABLE"),"UNSCORABLE",IF(H44&gt;=L44,IF(J44="FULL","CORRECT","PENDING"),IF(I44="FULL","CORRECT",IF(J44="FULL","LATE",IF(OR(I44="PARTIAL",J44="PARTIAL"),"PARTIAL","WRONG / MISSED"))))))))</x:f>
        <x:v>UNREVIEWED</x:v>
      </x:c>
      <x:c r="AA44" s="17" t="str">
        <x:f>IF(OR(A44="",M44&lt;&gt;"VERIFIED",H44="",K44="",J44&lt;&gt;"FULL"),"",K44-H44)</x:f>
      </x:c>
      <x:c r="AB44" s="17" t="str">
        <x:f>IF(OR(A44="",M44&lt;&gt;"VERIFIED",H44="",H44&gt;=L44,J44="FULL",J44="UNASSESSABLE"),"",L44-H44)</x:f>
      </x:c>
      <x:c r="AC44" s="17" t="n">
        <x:f>IF(AND(A44&lt;&gt;"",M44="VERIFIED",N44="YES",H44&lt;&gt;"",H44&lt;L44,I44&lt;&gt;"UNASSESSABLE",I44&lt;&gt;"UNREVIEWED",I44&lt;&gt;"NOT_DUE"),1,0)</x:f>
        <x:v>0</x:v>
      </x:c>
      <x:c r="AD44" s="17" t="n">
        <x:f>IF(AND(AC44=1,I44="FULL"),1,0)</x:f>
        <x:v>0</x:v>
      </x:c>
      <x:c r="AE44" s="17" t="n">
        <x:f>IF(AND(AC44=1,OR(I44="FULL",J44="FULL")),1,0)</x:f>
        <x:v>0</x:v>
      </x:c>
      <x:c r="AF44" s="20"/>
    </x:row>
    <x:row r="45" ht="58" customHeight="1">
      <x:c r="A45" s="17" t="str">
        <x:v>DEC-010</x:v>
      </x:c>
      <x:c r="B45" s="17" t="str">
        <x:v>Speech recognition widespread by 2000s</x:v>
      </x:c>
      <x:c r="C45" s="17" t="str">
        <x:v>AI &amp; software</x:v>
      </x:c>
      <x:c r="D45" s="17" t="str">
        <x:v>AI</x:v>
      </x:c>
      <x:c r="E45" s="17" t="str">
        <x:v>The Age of Intelligent Machines (1990)</x:v>
      </x:c>
      <x:c r="F45" s="17" t="n">
        <x:v>1990</x:v>
      </x:c>
      <x:c r="G45" s="17" t="str">
        <x:v>2000s</x:v>
      </x:c>
      <x:c r="H45" s="20"/>
      <x:c r="I45" s="17" t="str">
        <x:v>UNREVIEWED</x:v>
      </x:c>
      <x:c r="J45" s="17" t="str">
        <x:v>UNREVIEWED</x:v>
      </x:c>
      <x:c r="K45" s="20"/>
      <x:c r="L45" s="20" t="n">
        <x:v>2026</x:v>
      </x:c>
      <x:c r="M45" s="17" t="str">
        <x:v>UNREVIEWED</x:v>
      </x:c>
      <x:c r="N45" s="17" t="str">
        <x:v>NO</x:v>
      </x:c>
      <x:c r="O45" s="17"/>
      <x:c r="P45" s="17" t="str">
        <x:v>DEC-010</x:v>
      </x:c>
      <x:c r="Q45" s="17"/>
      <x:c r="R45" s="17"/>
      <x:c r="S45" s="17"/>
      <x:c r="T45" s="17"/>
      <x:c r="U45" s="17" t="str">
        <x:v>NO</x:v>
      </x:c>
      <x:c r="V45" s="17"/>
      <x:c r="W45" s="17"/>
      <x:c r="X45" s="17" t="str">
        <x:v>Imported research lead only. Verify attribution, deadline, scope and outcome; do not inherit the legacy score. Draft category needs review.</x:v>
      </x:c>
      <x:c r="Y45" s="17" t="str">
        <x:v>DEC-010</x:v>
      </x:c>
      <x:c r="Z45" s="17" t="str">
        <x:f>IF(A45="","",IF(M45="EXCLUDED","EXCLUDED",IF(M45&lt;&gt;"VERIFIED","UNREVIEWED",IF(OR(H45="",I45="UNASSESSABLE",J45="UNASSESSABLE"),"UNSCORABLE",IF(H45&gt;=L45,IF(J45="FULL","CORRECT","PENDING"),IF(I45="FULL","CORRECT",IF(J45="FULL","LATE",IF(OR(I45="PARTIAL",J45="PARTIAL"),"PARTIAL","WRONG / MISSED"))))))))</x:f>
        <x:v>UNREVIEWED</x:v>
      </x:c>
      <x:c r="AA45" s="17" t="str">
        <x:f>IF(OR(A45="",M45&lt;&gt;"VERIFIED",H45="",K45="",J45&lt;&gt;"FULL"),"",K45-H45)</x:f>
      </x:c>
      <x:c r="AB45" s="17" t="str">
        <x:f>IF(OR(A45="",M45&lt;&gt;"VERIFIED",H45="",H45&gt;=L45,J45="FULL",J45="UNASSESSABLE"),"",L45-H45)</x:f>
      </x:c>
      <x:c r="AC45" s="17" t="n">
        <x:f>IF(AND(A45&lt;&gt;"",M45="VERIFIED",N45="YES",H45&lt;&gt;"",H45&lt;L45,I45&lt;&gt;"UNASSESSABLE",I45&lt;&gt;"UNREVIEWED",I45&lt;&gt;"NOT_DUE"),1,0)</x:f>
        <x:v>0</x:v>
      </x:c>
      <x:c r="AD45" s="17" t="n">
        <x:f>IF(AND(AC45=1,I45="FULL"),1,0)</x:f>
        <x:v>0</x:v>
      </x:c>
      <x:c r="AE45" s="17" t="n">
        <x:f>IF(AND(AC45=1,OR(I45="FULL",J45="FULL")),1,0)</x:f>
        <x:v>0</x:v>
      </x:c>
      <x:c r="AF45" s="20"/>
    </x:row>
    <x:row r="46" ht="58" customHeight="1">
      <x:c r="A46" s="17" t="str">
        <x:v>DEC-011</x:v>
      </x:c>
      <x:c r="B46" s="17" t="str">
        <x:v>Wearable computers common by 2009</x:v>
      </x:c>
      <x:c r="C46" s="17" t="str">
        <x:v>Interfaces &amp; virtual worlds</x:v>
      </x:c>
      <x:c r="D46" s="17" t="str">
        <x:v>Computing</x:v>
      </x:c>
      <x:c r="E46" s="17" t="str">
        <x:v>Age of Spiritual Machines (1999)</x:v>
      </x:c>
      <x:c r="F46" s="17" t="n">
        <x:v>1999</x:v>
      </x:c>
      <x:c r="G46" s="17" t="str">
        <x:v>2009</x:v>
      </x:c>
      <x:c r="H46" s="20"/>
      <x:c r="I46" s="17" t="str">
        <x:v>UNREVIEWED</x:v>
      </x:c>
      <x:c r="J46" s="17" t="str">
        <x:v>UNREVIEWED</x:v>
      </x:c>
      <x:c r="K46" s="20"/>
      <x:c r="L46" s="20" t="n">
        <x:v>2026</x:v>
      </x:c>
      <x:c r="M46" s="17" t="str">
        <x:v>UNREVIEWED</x:v>
      </x:c>
      <x:c r="N46" s="17" t="str">
        <x:v>NO</x:v>
      </x:c>
      <x:c r="O46" s="17"/>
      <x:c r="P46" s="17" t="str">
        <x:v>DEC-011</x:v>
      </x:c>
      <x:c r="Q46" s="17"/>
      <x:c r="R46" s="17"/>
      <x:c r="S46" s="17"/>
      <x:c r="T46" s="17"/>
      <x:c r="U46" s="17" t="str">
        <x:v>NO</x:v>
      </x:c>
      <x:c r="V46" s="17"/>
      <x:c r="W46" s="17"/>
      <x:c r="X46" s="17" t="str">
        <x:v>Imported research lead only. Verify attribution, deadline, scope and outcome; do not inherit the legacy score. Draft category needs review. Legacy on-time/achieved label may conflict with its positive drift.</x:v>
      </x:c>
      <x:c r="Y46" s="17" t="str">
        <x:v>DEC-011</x:v>
      </x:c>
      <x:c r="Z46" s="17" t="str">
        <x:f>IF(A46="","",IF(M46="EXCLUDED","EXCLUDED",IF(M46&lt;&gt;"VERIFIED","UNREVIEWED",IF(OR(H46="",I46="UNASSESSABLE",J46="UNASSESSABLE"),"UNSCORABLE",IF(H46&gt;=L46,IF(J46="FULL","CORRECT","PENDING"),IF(I46="FULL","CORRECT",IF(J46="FULL","LATE",IF(OR(I46="PARTIAL",J46="PARTIAL"),"PARTIAL","WRONG / MISSED"))))))))</x:f>
        <x:v>UNREVIEWED</x:v>
      </x:c>
      <x:c r="AA46" s="17" t="str">
        <x:f>IF(OR(A46="",M46&lt;&gt;"VERIFIED",H46="",K46="",J46&lt;&gt;"FULL"),"",K46-H46)</x:f>
      </x:c>
      <x:c r="AB46" s="17" t="str">
        <x:f>IF(OR(A46="",M46&lt;&gt;"VERIFIED",H46="",H46&gt;=L46,J46="FULL",J46="UNASSESSABLE"),"",L46-H46)</x:f>
      </x:c>
      <x:c r="AC46" s="17" t="n">
        <x:f>IF(AND(A46&lt;&gt;"",M46="VERIFIED",N46="YES",H46&lt;&gt;"",H46&lt;L46,I46&lt;&gt;"UNASSESSABLE",I46&lt;&gt;"UNREVIEWED",I46&lt;&gt;"NOT_DUE"),1,0)</x:f>
        <x:v>0</x:v>
      </x:c>
      <x:c r="AD46" s="17" t="n">
        <x:f>IF(AND(AC46=1,I46="FULL"),1,0)</x:f>
        <x:v>0</x:v>
      </x:c>
      <x:c r="AE46" s="17" t="n">
        <x:f>IF(AND(AC46=1,OR(I46="FULL",J46="FULL")),1,0)</x:f>
        <x:v>0</x:v>
      </x:c>
      <x:c r="AF46" s="20"/>
    </x:row>
    <x:row r="47" ht="58" customHeight="1">
      <x:c r="A47" s="17" t="str">
        <x:v>DEC-012</x:v>
      </x:c>
      <x:c r="B47" s="17" t="str">
        <x:v>Majority of books read digitally by 2009</x:v>
      </x:c>
      <x:c r="C47" s="17" t="str">
        <x:v>Computing hardware</x:v>
      </x:c>
      <x:c r="D47" s="17" t="str">
        <x:v>Computing</x:v>
      </x:c>
      <x:c r="E47" s="17" t="str">
        <x:v>Age of Spiritual Machines (1999)</x:v>
      </x:c>
      <x:c r="F47" s="17" t="n">
        <x:v>1999</x:v>
      </x:c>
      <x:c r="G47" s="17" t="str">
        <x:v>2009</x:v>
      </x:c>
      <x:c r="H47" s="20"/>
      <x:c r="I47" s="17" t="str">
        <x:v>UNREVIEWED</x:v>
      </x:c>
      <x:c r="J47" s="17" t="str">
        <x:v>UNREVIEWED</x:v>
      </x:c>
      <x:c r="K47" s="20"/>
      <x:c r="L47" s="20" t="n">
        <x:v>2026</x:v>
      </x:c>
      <x:c r="M47" s="17" t="str">
        <x:v>UNREVIEWED</x:v>
      </x:c>
      <x:c r="N47" s="17" t="str">
        <x:v>NO</x:v>
      </x:c>
      <x:c r="O47" s="17"/>
      <x:c r="P47" s="17" t="str">
        <x:v>DEC-012</x:v>
      </x:c>
      <x:c r="Q47" s="17"/>
      <x:c r="R47" s="17"/>
      <x:c r="S47" s="17"/>
      <x:c r="T47" s="17"/>
      <x:c r="U47" s="17" t="str">
        <x:v>NO</x:v>
      </x:c>
      <x:c r="V47" s="17"/>
      <x:c r="W47" s="17"/>
      <x:c r="X47" s="17" t="str">
        <x:v>Imported research lead only. Verify attribution, deadline, scope and outcome; do not inherit the legacy score. Draft category needs review.</x:v>
      </x:c>
      <x:c r="Y47" s="17" t="str">
        <x:v>DEC-012</x:v>
      </x:c>
      <x:c r="Z47" s="17" t="str">
        <x:f>IF(A47="","",IF(M47="EXCLUDED","EXCLUDED",IF(M47&lt;&gt;"VERIFIED","UNREVIEWED",IF(OR(H47="",I47="UNASSESSABLE",J47="UNASSESSABLE"),"UNSCORABLE",IF(H47&gt;=L47,IF(J47="FULL","CORRECT","PENDING"),IF(I47="FULL","CORRECT",IF(J47="FULL","LATE",IF(OR(I47="PARTIAL",J47="PARTIAL"),"PARTIAL","WRONG / MISSED"))))))))</x:f>
        <x:v>UNREVIEWED</x:v>
      </x:c>
      <x:c r="AA47" s="17" t="str">
        <x:f>IF(OR(A47="",M47&lt;&gt;"VERIFIED",H47="",K47="",J47&lt;&gt;"FULL"),"",K47-H47)</x:f>
      </x:c>
      <x:c r="AB47" s="17" t="str">
        <x:f>IF(OR(A47="",M47&lt;&gt;"VERIFIED",H47="",H47&gt;=L47,J47="FULL",J47="UNASSESSABLE"),"",L47-H47)</x:f>
      </x:c>
      <x:c r="AC47" s="17" t="n">
        <x:f>IF(AND(A47&lt;&gt;"",M47="VERIFIED",N47="YES",H47&lt;&gt;"",H47&lt;L47,I47&lt;&gt;"UNASSESSABLE",I47&lt;&gt;"UNREVIEWED",I47&lt;&gt;"NOT_DUE"),1,0)</x:f>
        <x:v>0</x:v>
      </x:c>
      <x:c r="AD47" s="17" t="n">
        <x:f>IF(AND(AC47=1,I47="FULL"),1,0)</x:f>
        <x:v>0</x:v>
      </x:c>
      <x:c r="AE47" s="17" t="n">
        <x:f>IF(AND(AC47=1,OR(I47="FULL",J47="FULL")),1,0)</x:f>
        <x:v>0</x:v>
      </x:c>
      <x:c r="AF47" s="20"/>
    </x:row>
    <x:row r="48" ht="58" customHeight="1">
      <x:c r="A48" s="17" t="str">
        <x:v>DEC-013</x:v>
      </x:c>
      <x:c r="B48" s="17" t="str">
        <x:v>People use the Web mainly wirelessly by 2009</x:v>
      </x:c>
      <x:c r="C48" s="17" t="str">
        <x:v>Computing hardware</x:v>
      </x:c>
      <x:c r="D48" s="17" t="str">
        <x:v>Computing</x:v>
      </x:c>
      <x:c r="E48" s="17" t="str">
        <x:v>Age of Spiritual Machines (1999)</x:v>
      </x:c>
      <x:c r="F48" s="17" t="n">
        <x:v>1999</x:v>
      </x:c>
      <x:c r="G48" s="17" t="str">
        <x:v>2009</x:v>
      </x:c>
      <x:c r="H48" s="20"/>
      <x:c r="I48" s="17" t="str">
        <x:v>UNREVIEWED</x:v>
      </x:c>
      <x:c r="J48" s="17" t="str">
        <x:v>UNREVIEWED</x:v>
      </x:c>
      <x:c r="K48" s="20"/>
      <x:c r="L48" s="20" t="n">
        <x:v>2026</x:v>
      </x:c>
      <x:c r="M48" s="17" t="str">
        <x:v>UNREVIEWED</x:v>
      </x:c>
      <x:c r="N48" s="17" t="str">
        <x:v>NO</x:v>
      </x:c>
      <x:c r="O48" s="17"/>
      <x:c r="P48" s="17" t="str">
        <x:v>DEC-013</x:v>
      </x:c>
      <x:c r="Q48" s="17"/>
      <x:c r="R48" s="17"/>
      <x:c r="S48" s="17"/>
      <x:c r="T48" s="17"/>
      <x:c r="U48" s="17" t="str">
        <x:v>NO</x:v>
      </x:c>
      <x:c r="V48" s="17"/>
      <x:c r="W48" s="17"/>
      <x:c r="X48" s="17" t="str">
        <x:v>Imported research lead only. Verify attribution, deadline, scope and outcome; do not inherit the legacy score. Draft category needs review.</x:v>
      </x:c>
      <x:c r="Y48" s="17" t="str">
        <x:v>DEC-013</x:v>
      </x:c>
      <x:c r="Z48" s="17" t="str">
        <x:f>IF(A48="","",IF(M48="EXCLUDED","EXCLUDED",IF(M48&lt;&gt;"VERIFIED","UNREVIEWED",IF(OR(H48="",I48="UNASSESSABLE",J48="UNASSESSABLE"),"UNSCORABLE",IF(H48&gt;=L48,IF(J48="FULL","CORRECT","PENDING"),IF(I48="FULL","CORRECT",IF(J48="FULL","LATE",IF(OR(I48="PARTIAL",J48="PARTIAL"),"PARTIAL","WRONG / MISSED"))))))))</x:f>
        <x:v>UNREVIEWED</x:v>
      </x:c>
      <x:c r="AA48" s="17" t="str">
        <x:f>IF(OR(A48="",M48&lt;&gt;"VERIFIED",H48="",K48="",J48&lt;&gt;"FULL"),"",K48-H48)</x:f>
      </x:c>
      <x:c r="AB48" s="17" t="str">
        <x:f>IF(OR(A48="",M48&lt;&gt;"VERIFIED",H48="",H48&gt;=L48,J48="FULL",J48="UNASSESSABLE"),"",L48-H48)</x:f>
      </x:c>
      <x:c r="AC48" s="17" t="n">
        <x:f>IF(AND(A48&lt;&gt;"",M48="VERIFIED",N48="YES",H48&lt;&gt;"",H48&lt;L48,I48&lt;&gt;"UNASSESSABLE",I48&lt;&gt;"UNREVIEWED",I48&lt;&gt;"NOT_DUE"),1,0)</x:f>
        <x:v>0</x:v>
      </x:c>
      <x:c r="AD48" s="17" t="n">
        <x:f>IF(AND(AC48=1,I48="FULL"),1,0)</x:f>
        <x:v>0</x:v>
      </x:c>
      <x:c r="AE48" s="17" t="n">
        <x:f>IF(AND(AC48=1,OR(I48="FULL",J48="FULL")),1,0)</x:f>
        <x:v>0</x:v>
      </x:c>
      <x:c r="AF48" s="20"/>
    </x:row>
    <x:row r="49" ht="58" customHeight="1">
      <x:c r="A49" s="17" t="str">
        <x:v>DEC-014</x:v>
      </x:c>
      <x:c r="B49" s="17" t="str">
        <x:v>Self-driving cars common by 2009</x:v>
      </x:c>
      <x:c r="C49" s="17" t="str">
        <x:v>Robotics &amp; transportation</x:v>
      </x:c>
      <x:c r="D49" s="17" t="str">
        <x:v>Robotics</x:v>
      </x:c>
      <x:c r="E49" s="17" t="str">
        <x:v>Age of Spiritual Machines (1999)</x:v>
      </x:c>
      <x:c r="F49" s="17" t="n">
        <x:v>1999</x:v>
      </x:c>
      <x:c r="G49" s="17" t="str">
        <x:v>2009</x:v>
      </x:c>
      <x:c r="H49" s="20"/>
      <x:c r="I49" s="17" t="str">
        <x:v>UNREVIEWED</x:v>
      </x:c>
      <x:c r="J49" s="17" t="str">
        <x:v>UNREVIEWED</x:v>
      </x:c>
      <x:c r="K49" s="20"/>
      <x:c r="L49" s="20" t="n">
        <x:v>2026</x:v>
      </x:c>
      <x:c r="M49" s="17" t="str">
        <x:v>UNREVIEWED</x:v>
      </x:c>
      <x:c r="N49" s="17" t="str">
        <x:v>NO</x:v>
      </x:c>
      <x:c r="O49" s="17"/>
      <x:c r="P49" s="17" t="str">
        <x:v>DEC-014</x:v>
      </x:c>
      <x:c r="Q49" s="17"/>
      <x:c r="R49" s="17"/>
      <x:c r="S49" s="17"/>
      <x:c r="T49" s="17"/>
      <x:c r="U49" s="17" t="str">
        <x:v>NO</x:v>
      </x:c>
      <x:c r="V49" s="17"/>
      <x:c r="W49" s="17"/>
      <x:c r="X49" s="17" t="str">
        <x:v>Imported research lead only. Verify attribution, deadline, scope and outcome; do not inherit the legacy score. Draft category needs review.</x:v>
      </x:c>
      <x:c r="Y49" s="17" t="str">
        <x:v>DEC-014</x:v>
      </x:c>
      <x:c r="Z49" s="17" t="str">
        <x:f>IF(A49="","",IF(M49="EXCLUDED","EXCLUDED",IF(M49&lt;&gt;"VERIFIED","UNREVIEWED",IF(OR(H49="",I49="UNASSESSABLE",J49="UNASSESSABLE"),"UNSCORABLE",IF(H49&gt;=L49,IF(J49="FULL","CORRECT","PENDING"),IF(I49="FULL","CORRECT",IF(J49="FULL","LATE",IF(OR(I49="PARTIAL",J49="PARTIAL"),"PARTIAL","WRONG / MISSED"))))))))</x:f>
        <x:v>UNREVIEWED</x:v>
      </x:c>
      <x:c r="AA49" s="17" t="str">
        <x:f>IF(OR(A49="",M49&lt;&gt;"VERIFIED",H49="",K49="",J49&lt;&gt;"FULL"),"",K49-H49)</x:f>
      </x:c>
      <x:c r="AB49" s="17" t="str">
        <x:f>IF(OR(A49="",M49&lt;&gt;"VERIFIED",H49="",H49&gt;=L49,J49="FULL",J49="UNASSESSABLE"),"",L49-H49)</x:f>
      </x:c>
      <x:c r="AC49" s="17" t="n">
        <x:f>IF(AND(A49&lt;&gt;"",M49="VERIFIED",N49="YES",H49&lt;&gt;"",H49&lt;L49,I49&lt;&gt;"UNASSESSABLE",I49&lt;&gt;"UNREVIEWED",I49&lt;&gt;"NOT_DUE"),1,0)</x:f>
        <x:v>0</x:v>
      </x:c>
      <x:c r="AD49" s="17" t="n">
        <x:f>IF(AND(AC49=1,I49="FULL"),1,0)</x:f>
        <x:v>0</x:v>
      </x:c>
      <x:c r="AE49" s="17" t="n">
        <x:f>IF(AND(AC49=1,OR(I49="FULL",J49="FULL")),1,0)</x:f>
        <x:v>0</x:v>
      </x:c>
      <x:c r="AF49" s="20"/>
    </x:row>
    <x:row r="50" ht="58" customHeight="1">
      <x:c r="A50" s="17" t="str">
        <x:v>DEC-015</x:v>
      </x:c>
      <x:c r="B50" s="17" t="str">
        <x:v>AR glasses with displays by 2009</x:v>
      </x:c>
      <x:c r="C50" s="17" t="str">
        <x:v>Interfaces &amp; virtual worlds</x:v>
      </x:c>
      <x:c r="D50" s="17" t="str">
        <x:v>Hardware</x:v>
      </x:c>
      <x:c r="E50" s="17" t="str">
        <x:v>Age of Spiritual Machines (1999)</x:v>
      </x:c>
      <x:c r="F50" s="17" t="n">
        <x:v>1999</x:v>
      </x:c>
      <x:c r="G50" s="17" t="str">
        <x:v>2009</x:v>
      </x:c>
      <x:c r="H50" s="20"/>
      <x:c r="I50" s="17" t="str">
        <x:v>UNREVIEWED</x:v>
      </x:c>
      <x:c r="J50" s="17" t="str">
        <x:v>UNREVIEWED</x:v>
      </x:c>
      <x:c r="K50" s="20"/>
      <x:c r="L50" s="20" t="n">
        <x:v>2026</x:v>
      </x:c>
      <x:c r="M50" s="17" t="str">
        <x:v>UNREVIEWED</x:v>
      </x:c>
      <x:c r="N50" s="17" t="str">
        <x:v>NO</x:v>
      </x:c>
      <x:c r="O50" s="17"/>
      <x:c r="P50" s="17" t="str">
        <x:v>DEC-015</x:v>
      </x:c>
      <x:c r="Q50" s="17"/>
      <x:c r="R50" s="17"/>
      <x:c r="S50" s="17"/>
      <x:c r="T50" s="17"/>
      <x:c r="U50" s="17" t="str">
        <x:v>NO</x:v>
      </x:c>
      <x:c r="V50" s="17"/>
      <x:c r="W50" s="17"/>
      <x:c r="X50" s="17" t="str">
        <x:v>Imported research lead only. Verify attribution, deadline, scope and outcome; do not inherit the legacy score. Draft category needs review.</x:v>
      </x:c>
      <x:c r="Y50" s="17" t="str">
        <x:v>DEC-015</x:v>
      </x:c>
      <x:c r="Z50" s="17" t="str">
        <x:f>IF(A50="","",IF(M50="EXCLUDED","EXCLUDED",IF(M50&lt;&gt;"VERIFIED","UNREVIEWED",IF(OR(H50="",I50="UNASSESSABLE",J50="UNASSESSABLE"),"UNSCORABLE",IF(H50&gt;=L50,IF(J50="FULL","CORRECT","PENDING"),IF(I50="FULL","CORRECT",IF(J50="FULL","LATE",IF(OR(I50="PARTIAL",J50="PARTIAL"),"PARTIAL","WRONG / MISSED"))))))))</x:f>
        <x:v>UNREVIEWED</x:v>
      </x:c>
      <x:c r="AA50" s="17" t="str">
        <x:f>IF(OR(A50="",M50&lt;&gt;"VERIFIED",H50="",K50="",J50&lt;&gt;"FULL"),"",K50-H50)</x:f>
      </x:c>
      <x:c r="AB50" s="17" t="str">
        <x:f>IF(OR(A50="",M50&lt;&gt;"VERIFIED",H50="",H50&gt;=L50,J50="FULL",J50="UNASSESSABLE"),"",L50-H50)</x:f>
      </x:c>
      <x:c r="AC50" s="17" t="n">
        <x:f>IF(AND(A50&lt;&gt;"",M50="VERIFIED",N50="YES",H50&lt;&gt;"",H50&lt;L50,I50&lt;&gt;"UNASSESSABLE",I50&lt;&gt;"UNREVIEWED",I50&lt;&gt;"NOT_DUE"),1,0)</x:f>
        <x:v>0</x:v>
      </x:c>
      <x:c r="AD50" s="17" t="n">
        <x:f>IF(AND(AC50=1,I50="FULL"),1,0)</x:f>
        <x:v>0</x:v>
      </x:c>
      <x:c r="AE50" s="17" t="n">
        <x:f>IF(AND(AC50=1,OR(I50="FULL",J50="FULL")),1,0)</x:f>
        <x:v>0</x:v>
      </x:c>
      <x:c r="AF50" s="20"/>
    </x:row>
    <x:row r="51" ht="58" customHeight="1">
      <x:c r="A51" s="17" t="str">
        <x:v>DEC-016</x:v>
      </x:c>
      <x:c r="B51" s="17" t="str">
        <x:v>Displays in clothing by 2019</x:v>
      </x:c>
      <x:c r="C51" s="17" t="str">
        <x:v>Interfaces &amp; virtual worlds</x:v>
      </x:c>
      <x:c r="D51" s="17" t="str">
        <x:v>Hardware</x:v>
      </x:c>
      <x:c r="E51" s="17" t="str">
        <x:v>Age of Spiritual Machines (1999)</x:v>
      </x:c>
      <x:c r="F51" s="17" t="n">
        <x:v>1999</x:v>
      </x:c>
      <x:c r="G51" s="17" t="str">
        <x:v>2019</x:v>
      </x:c>
      <x:c r="H51" s="20"/>
      <x:c r="I51" s="17" t="str">
        <x:v>UNREVIEWED</x:v>
      </x:c>
      <x:c r="J51" s="17" t="str">
        <x:v>UNREVIEWED</x:v>
      </x:c>
      <x:c r="K51" s="20"/>
      <x:c r="L51" s="20" t="n">
        <x:v>2026</x:v>
      </x:c>
      <x:c r="M51" s="17" t="str">
        <x:v>UNREVIEWED</x:v>
      </x:c>
      <x:c r="N51" s="17" t="str">
        <x:v>NO</x:v>
      </x:c>
      <x:c r="O51" s="17"/>
      <x:c r="P51" s="17" t="str">
        <x:v>DEC-016</x:v>
      </x:c>
      <x:c r="Q51" s="17"/>
      <x:c r="R51" s="17"/>
      <x:c r="S51" s="17"/>
      <x:c r="T51" s="17"/>
      <x:c r="U51" s="17" t="str">
        <x:v>NO</x:v>
      </x:c>
      <x:c r="V51" s="17"/>
      <x:c r="W51" s="17"/>
      <x:c r="X51" s="17" t="str">
        <x:v>Imported research lead only. Verify attribution, deadline, scope and outcome; do not inherit the legacy score. Draft category needs review. Unquoted comma in legacy Actual Outcome field repaired for parsing; raw row preserved.</x:v>
      </x:c>
      <x:c r="Y51" s="17" t="str">
        <x:v>DEC-016</x:v>
      </x:c>
      <x:c r="Z51" s="17" t="str">
        <x:f>IF(A51="","",IF(M51="EXCLUDED","EXCLUDED",IF(M51&lt;&gt;"VERIFIED","UNREVIEWED",IF(OR(H51="",I51="UNASSESSABLE",J51="UNASSESSABLE"),"UNSCORABLE",IF(H51&gt;=L51,IF(J51="FULL","CORRECT","PENDING"),IF(I51="FULL","CORRECT",IF(J51="FULL","LATE",IF(OR(I51="PARTIAL",J51="PARTIAL"),"PARTIAL","WRONG / MISSED"))))))))</x:f>
        <x:v>UNREVIEWED</x:v>
      </x:c>
      <x:c r="AA51" s="17" t="str">
        <x:f>IF(OR(A51="",M51&lt;&gt;"VERIFIED",H51="",K51="",J51&lt;&gt;"FULL"),"",K51-H51)</x:f>
      </x:c>
      <x:c r="AB51" s="17" t="str">
        <x:f>IF(OR(A51="",M51&lt;&gt;"VERIFIED",H51="",H51&gt;=L51,J51="FULL",J51="UNASSESSABLE"),"",L51-H51)</x:f>
      </x:c>
      <x:c r="AC51" s="17" t="n">
        <x:f>IF(AND(A51&lt;&gt;"",M51="VERIFIED",N51="YES",H51&lt;&gt;"",H51&lt;L51,I51&lt;&gt;"UNASSESSABLE",I51&lt;&gt;"UNREVIEWED",I51&lt;&gt;"NOT_DUE"),1,0)</x:f>
        <x:v>0</x:v>
      </x:c>
      <x:c r="AD51" s="17" t="n">
        <x:f>IF(AND(AC51=1,I51="FULL"),1,0)</x:f>
        <x:v>0</x:v>
      </x:c>
      <x:c r="AE51" s="17" t="n">
        <x:f>IF(AND(AC51=1,OR(I51="FULL",J51="FULL")),1,0)</x:f>
        <x:v>0</x:v>
      </x:c>
      <x:c r="AF51" s="20"/>
    </x:row>
    <x:row r="52" ht="58" customHeight="1">
      <x:c r="A52" s="17" t="str">
        <x:v>DEC-017</x:v>
      </x:c>
      <x:c r="B52" s="17" t="str">
        <x:v>VR indistinguishable from real by 2019</x:v>
      </x:c>
      <x:c r="C52" s="17" t="str">
        <x:v>Interfaces &amp; virtual worlds</x:v>
      </x:c>
      <x:c r="D52" s="17" t="str">
        <x:v>VR</x:v>
      </x:c>
      <x:c r="E52" s="17" t="str">
        <x:v>Age of Spiritual Machines (1999)</x:v>
      </x:c>
      <x:c r="F52" s="17" t="n">
        <x:v>1999</x:v>
      </x:c>
      <x:c r="G52" s="17" t="str">
        <x:v>2019</x:v>
      </x:c>
      <x:c r="H52" s="20"/>
      <x:c r="I52" s="17" t="str">
        <x:v>UNREVIEWED</x:v>
      </x:c>
      <x:c r="J52" s="17" t="str">
        <x:v>UNREVIEWED</x:v>
      </x:c>
      <x:c r="K52" s="20"/>
      <x:c r="L52" s="20" t="n">
        <x:v>2026</x:v>
      </x:c>
      <x:c r="M52" s="17" t="str">
        <x:v>UNREVIEWED</x:v>
      </x:c>
      <x:c r="N52" s="17" t="str">
        <x:v>NO</x:v>
      </x:c>
      <x:c r="O52" s="17"/>
      <x:c r="P52" s="17" t="str">
        <x:v>DEC-017</x:v>
      </x:c>
      <x:c r="Q52" s="17"/>
      <x:c r="R52" s="17"/>
      <x:c r="S52" s="17"/>
      <x:c r="T52" s="17"/>
      <x:c r="U52" s="17" t="str">
        <x:v>NO</x:v>
      </x:c>
      <x:c r="V52" s="17"/>
      <x:c r="W52" s="17"/>
      <x:c r="X52" s="17" t="str">
        <x:v>Imported research lead only. Verify attribution, deadline, scope and outcome; do not inherit the legacy score. Draft category needs review.</x:v>
      </x:c>
      <x:c r="Y52" s="17" t="str">
        <x:v>DEC-017</x:v>
      </x:c>
      <x:c r="Z52" s="17" t="str">
        <x:f>IF(A52="","",IF(M52="EXCLUDED","EXCLUDED",IF(M52&lt;&gt;"VERIFIED","UNREVIEWED",IF(OR(H52="",I52="UNASSESSABLE",J52="UNASSESSABLE"),"UNSCORABLE",IF(H52&gt;=L52,IF(J52="FULL","CORRECT","PENDING"),IF(I52="FULL","CORRECT",IF(J52="FULL","LATE",IF(OR(I52="PARTIAL",J52="PARTIAL"),"PARTIAL","WRONG / MISSED"))))))))</x:f>
        <x:v>UNREVIEWED</x:v>
      </x:c>
      <x:c r="AA52" s="17" t="str">
        <x:f>IF(OR(A52="",M52&lt;&gt;"VERIFIED",H52="",K52="",J52&lt;&gt;"FULL"),"",K52-H52)</x:f>
      </x:c>
      <x:c r="AB52" s="17" t="str">
        <x:f>IF(OR(A52="",M52&lt;&gt;"VERIFIED",H52="",H52&gt;=L52,J52="FULL",J52="UNASSESSABLE"),"",L52-H52)</x:f>
      </x:c>
      <x:c r="AC52" s="17" t="n">
        <x:f>IF(AND(A52&lt;&gt;"",M52="VERIFIED",N52="YES",H52&lt;&gt;"",H52&lt;L52,I52&lt;&gt;"UNASSESSABLE",I52&lt;&gt;"UNREVIEWED",I52&lt;&gt;"NOT_DUE"),1,0)</x:f>
        <x:v>0</x:v>
      </x:c>
      <x:c r="AD52" s="17" t="n">
        <x:f>IF(AND(AC52=1,I52="FULL"),1,0)</x:f>
        <x:v>0</x:v>
      </x:c>
      <x:c r="AE52" s="17" t="n">
        <x:f>IF(AND(AC52=1,OR(I52="FULL",J52="FULL")),1,0)</x:f>
        <x:v>0</x:v>
      </x:c>
      <x:c r="AF52" s="20"/>
    </x:row>
    <x:row r="53" ht="58" customHeight="1">
      <x:c r="A53" s="17" t="str">
        <x:v>DEC-018</x:v>
      </x:c>
      <x:c r="B53" s="17" t="str">
        <x:v>Cochlear implants effectively cure deafness</x:v>
      </x:c>
      <x:c r="C53" s="17" t="str">
        <x:v>Biology &amp; medicine</x:v>
      </x:c>
      <x:c r="D53" s="17" t="str">
        <x:v>Health</x:v>
      </x:c>
      <x:c r="E53" s="17" t="str">
        <x:v>Age of Spiritual Machines (1999)</x:v>
      </x:c>
      <x:c r="F53" s="17" t="n">
        <x:v>1999</x:v>
      </x:c>
      <x:c r="G53" s="17" t="str">
        <x:v>2009</x:v>
      </x:c>
      <x:c r="H53" s="20"/>
      <x:c r="I53" s="17" t="str">
        <x:v>UNREVIEWED</x:v>
      </x:c>
      <x:c r="J53" s="17" t="str">
        <x:v>UNREVIEWED</x:v>
      </x:c>
      <x:c r="K53" s="20"/>
      <x:c r="L53" s="20" t="n">
        <x:v>2026</x:v>
      </x:c>
      <x:c r="M53" s="17" t="str">
        <x:v>UNREVIEWED</x:v>
      </x:c>
      <x:c r="N53" s="17" t="str">
        <x:v>NO</x:v>
      </x:c>
      <x:c r="O53" s="17"/>
      <x:c r="P53" s="17" t="str">
        <x:v>DEC-018</x:v>
      </x:c>
      <x:c r="Q53" s="17"/>
      <x:c r="R53" s="17"/>
      <x:c r="S53" s="17"/>
      <x:c r="T53" s="17"/>
      <x:c r="U53" s="17" t="str">
        <x:v>NO</x:v>
      </x:c>
      <x:c r="V53" s="17"/>
      <x:c r="W53" s="17"/>
      <x:c r="X53" s="17" t="str">
        <x:v>Imported research lead only. Verify attribution, deadline, scope and outcome; do not inherit the legacy score. Draft category needs review.</x:v>
      </x:c>
      <x:c r="Y53" s="17" t="str">
        <x:v>DEC-018</x:v>
      </x:c>
      <x:c r="Z53" s="17" t="str">
        <x:f>IF(A53="","",IF(M53="EXCLUDED","EXCLUDED",IF(M53&lt;&gt;"VERIFIED","UNREVIEWED",IF(OR(H53="",I53="UNASSESSABLE",J53="UNASSESSABLE"),"UNSCORABLE",IF(H53&gt;=L53,IF(J53="FULL","CORRECT","PENDING"),IF(I53="FULL","CORRECT",IF(J53="FULL","LATE",IF(OR(I53="PARTIAL",J53="PARTIAL"),"PARTIAL","WRONG / MISSED"))))))))</x:f>
        <x:v>UNREVIEWED</x:v>
      </x:c>
      <x:c r="AA53" s="17" t="str">
        <x:f>IF(OR(A53="",M53&lt;&gt;"VERIFIED",H53="",K53="",J53&lt;&gt;"FULL"),"",K53-H53)</x:f>
      </x:c>
      <x:c r="AB53" s="17" t="str">
        <x:f>IF(OR(A53="",M53&lt;&gt;"VERIFIED",H53="",H53&gt;=L53,J53="FULL",J53="UNASSESSABLE"),"",L53-H53)</x:f>
      </x:c>
      <x:c r="AC53" s="17" t="n">
        <x:f>IF(AND(A53&lt;&gt;"",M53="VERIFIED",N53="YES",H53&lt;&gt;"",H53&lt;L53,I53&lt;&gt;"UNASSESSABLE",I53&lt;&gt;"UNREVIEWED",I53&lt;&gt;"NOT_DUE"),1,0)</x:f>
        <x:v>0</x:v>
      </x:c>
      <x:c r="AD53" s="17" t="n">
        <x:f>IF(AND(AC53=1,I53="FULL"),1,0)</x:f>
        <x:v>0</x:v>
      </x:c>
      <x:c r="AE53" s="17" t="n">
        <x:f>IF(AND(AC53=1,OR(I53="FULL",J53="FULL")),1,0)</x:f>
        <x:v>0</x:v>
      </x:c>
      <x:c r="AF53" s="20"/>
    </x:row>
    <x:row r="54" ht="58" customHeight="1">
      <x:c r="A54" s="17" t="str">
        <x:v>DEC-019</x:v>
      </x:c>
      <x:c r="B54" s="17" t="str">
        <x:v>Natural language interaction with computers by 2019</x:v>
      </x:c>
      <x:c r="C54" s="17" t="str">
        <x:v>AI &amp; software</x:v>
      </x:c>
      <x:c r="D54" s="17" t="str">
        <x:v>AI</x:v>
      </x:c>
      <x:c r="E54" s="17" t="str">
        <x:v>Age of Spiritual Machines (1999)</x:v>
      </x:c>
      <x:c r="F54" s="17" t="n">
        <x:v>1999</x:v>
      </x:c>
      <x:c r="G54" s="17" t="str">
        <x:v>2019</x:v>
      </x:c>
      <x:c r="H54" s="20"/>
      <x:c r="I54" s="17" t="str">
        <x:v>UNREVIEWED</x:v>
      </x:c>
      <x:c r="J54" s="17" t="str">
        <x:v>UNREVIEWED</x:v>
      </x:c>
      <x:c r="K54" s="20"/>
      <x:c r="L54" s="20" t="n">
        <x:v>2026</x:v>
      </x:c>
      <x:c r="M54" s="17" t="str">
        <x:v>UNREVIEWED</x:v>
      </x:c>
      <x:c r="N54" s="17" t="str">
        <x:v>NO</x:v>
      </x:c>
      <x:c r="O54" s="17"/>
      <x:c r="P54" s="17" t="str">
        <x:v>DEC-019</x:v>
      </x:c>
      <x:c r="Q54" s="17"/>
      <x:c r="R54" s="17"/>
      <x:c r="S54" s="17"/>
      <x:c r="T54" s="17"/>
      <x:c r="U54" s="17" t="str">
        <x:v>NO</x:v>
      </x:c>
      <x:c r="V54" s="17"/>
      <x:c r="W54" s="17"/>
      <x:c r="X54" s="17" t="str">
        <x:v>Imported research lead only. Verify attribution, deadline, scope and outcome; do not inherit the legacy score. Draft category needs review.</x:v>
      </x:c>
      <x:c r="Y54" s="17" t="str">
        <x:v>DEC-019</x:v>
      </x:c>
      <x:c r="Z54" s="17" t="str">
        <x:f>IF(A54="","",IF(M54="EXCLUDED","EXCLUDED",IF(M54&lt;&gt;"VERIFIED","UNREVIEWED",IF(OR(H54="",I54="UNASSESSABLE",J54="UNASSESSABLE"),"UNSCORABLE",IF(H54&gt;=L54,IF(J54="FULL","CORRECT","PENDING"),IF(I54="FULL","CORRECT",IF(J54="FULL","LATE",IF(OR(I54="PARTIAL",J54="PARTIAL"),"PARTIAL","WRONG / MISSED"))))))))</x:f>
        <x:v>UNREVIEWED</x:v>
      </x:c>
      <x:c r="AA54" s="17" t="str">
        <x:f>IF(OR(A54="",M54&lt;&gt;"VERIFIED",H54="",K54="",J54&lt;&gt;"FULL"),"",K54-H54)</x:f>
      </x:c>
      <x:c r="AB54" s="17" t="str">
        <x:f>IF(OR(A54="",M54&lt;&gt;"VERIFIED",H54="",H54&gt;=L54,J54="FULL",J54="UNASSESSABLE"),"",L54-H54)</x:f>
      </x:c>
      <x:c r="AC54" s="17" t="n">
        <x:f>IF(AND(A54&lt;&gt;"",M54="VERIFIED",N54="YES",H54&lt;&gt;"",H54&lt;L54,I54&lt;&gt;"UNASSESSABLE",I54&lt;&gt;"UNREVIEWED",I54&lt;&gt;"NOT_DUE"),1,0)</x:f>
        <x:v>0</x:v>
      </x:c>
      <x:c r="AD54" s="17" t="n">
        <x:f>IF(AND(AC54=1,I54="FULL"),1,0)</x:f>
        <x:v>0</x:v>
      </x:c>
      <x:c r="AE54" s="17" t="n">
        <x:f>IF(AND(AC54=1,OR(I54="FULL",J54="FULL")),1,0)</x:f>
        <x:v>0</x:v>
      </x:c>
      <x:c r="AF54" s="20"/>
    </x:row>
    <x:row r="55" ht="58" customHeight="1">
      <x:c r="A55" s="17" t="str">
        <x:v>DEC-020</x:v>
      </x:c>
      <x:c r="B55" s="17" t="str">
        <x:v>3D printers for home use by 2019</x:v>
      </x:c>
      <x:c r="C55" s="17" t="str">
        <x:v>Manufacturing &amp; materials</x:v>
      </x:c>
      <x:c r="D55" s="17" t="str">
        <x:v>Manufacturing</x:v>
      </x:c>
      <x:c r="E55" s="17" t="str">
        <x:v>Age of Spiritual Machines (1999)</x:v>
      </x:c>
      <x:c r="F55" s="17" t="n">
        <x:v>1999</x:v>
      </x:c>
      <x:c r="G55" s="17" t="str">
        <x:v>2019</x:v>
      </x:c>
      <x:c r="H55" s="20"/>
      <x:c r="I55" s="17" t="str">
        <x:v>UNREVIEWED</x:v>
      </x:c>
      <x:c r="J55" s="17" t="str">
        <x:v>UNREVIEWED</x:v>
      </x:c>
      <x:c r="K55" s="20"/>
      <x:c r="L55" s="20" t="n">
        <x:v>2026</x:v>
      </x:c>
      <x:c r="M55" s="17" t="str">
        <x:v>UNREVIEWED</x:v>
      </x:c>
      <x:c r="N55" s="17" t="str">
        <x:v>NO</x:v>
      </x:c>
      <x:c r="O55" s="17"/>
      <x:c r="P55" s="17" t="str">
        <x:v>DEC-020</x:v>
      </x:c>
      <x:c r="Q55" s="17"/>
      <x:c r="R55" s="17"/>
      <x:c r="S55" s="17"/>
      <x:c r="T55" s="17"/>
      <x:c r="U55" s="17" t="str">
        <x:v>NO</x:v>
      </x:c>
      <x:c r="V55" s="17"/>
      <x:c r="W55" s="17"/>
      <x:c r="X55" s="17" t="str">
        <x:v>Imported research lead only. Verify attribution, deadline, scope and outcome; do not inherit the legacy score. Draft category needs review.</x:v>
      </x:c>
      <x:c r="Y55" s="17" t="str">
        <x:v>DEC-020</x:v>
      </x:c>
      <x:c r="Z55" s="17" t="str">
        <x:f>IF(A55="","",IF(M55="EXCLUDED","EXCLUDED",IF(M55&lt;&gt;"VERIFIED","UNREVIEWED",IF(OR(H55="",I55="UNASSESSABLE",J55="UNASSESSABLE"),"UNSCORABLE",IF(H55&gt;=L55,IF(J55="FULL","CORRECT","PENDING"),IF(I55="FULL","CORRECT",IF(J55="FULL","LATE",IF(OR(I55="PARTIAL",J55="PARTIAL"),"PARTIAL","WRONG / MISSED"))))))))</x:f>
        <x:v>UNREVIEWED</x:v>
      </x:c>
      <x:c r="AA55" s="17" t="str">
        <x:f>IF(OR(A55="",M55&lt;&gt;"VERIFIED",H55="",K55="",J55&lt;&gt;"FULL"),"",K55-H55)</x:f>
      </x:c>
      <x:c r="AB55" s="17" t="str">
        <x:f>IF(OR(A55="",M55&lt;&gt;"VERIFIED",H55="",H55&gt;=L55,J55="FULL",J55="UNASSESSABLE"),"",L55-H55)</x:f>
      </x:c>
      <x:c r="AC55" s="17" t="n">
        <x:f>IF(AND(A55&lt;&gt;"",M55="VERIFIED",N55="YES",H55&lt;&gt;"",H55&lt;L55,I55&lt;&gt;"UNASSESSABLE",I55&lt;&gt;"UNREVIEWED",I55&lt;&gt;"NOT_DUE"),1,0)</x:f>
        <x:v>0</x:v>
      </x:c>
      <x:c r="AD55" s="17" t="n">
        <x:f>IF(AND(AC55=1,I55="FULL"),1,0)</x:f>
        <x:v>0</x:v>
      </x:c>
      <x:c r="AE55" s="17" t="n">
        <x:f>IF(AND(AC55=1,OR(I55="FULL",J55="FULL")),1,0)</x:f>
        <x:v>0</x:v>
      </x:c>
      <x:c r="AF55" s="20"/>
    </x:row>
    <x:row r="56" ht="58" customHeight="1">
      <x:c r="A56" s="17" t="str">
        <x:v>DEC-021</x:v>
      </x:c>
      <x:c r="B56" s="17" t="str">
        <x:v>PCs embedded in environment by 2010s</x:v>
      </x:c>
      <x:c r="C56" s="17" t="str">
        <x:v>Computing hardware</x:v>
      </x:c>
      <x:c r="D56" s="17" t="str">
        <x:v>Computing</x:v>
      </x:c>
      <x:c r="E56" s="17" t="str">
        <x:v>Singularity Is Near (2005)</x:v>
      </x:c>
      <x:c r="F56" s="17" t="n">
        <x:v>2005</x:v>
      </x:c>
      <x:c r="G56" s="17" t="str">
        <x:v>2010</x:v>
      </x:c>
      <x:c r="H56" s="20"/>
      <x:c r="I56" s="17" t="str">
        <x:v>UNREVIEWED</x:v>
      </x:c>
      <x:c r="J56" s="17" t="str">
        <x:v>UNREVIEWED</x:v>
      </x:c>
      <x:c r="K56" s="20"/>
      <x:c r="L56" s="20" t="n">
        <x:v>2026</x:v>
      </x:c>
      <x:c r="M56" s="17" t="str">
        <x:v>UNREVIEWED</x:v>
      </x:c>
      <x:c r="N56" s="17" t="str">
        <x:v>NO</x:v>
      </x:c>
      <x:c r="O56" s="17"/>
      <x:c r="P56" s="17" t="str">
        <x:v>DEC-021</x:v>
      </x:c>
      <x:c r="Q56" s="17"/>
      <x:c r="R56" s="17"/>
      <x:c r="S56" s="17"/>
      <x:c r="T56" s="17"/>
      <x:c r="U56" s="17" t="str">
        <x:v>NO</x:v>
      </x:c>
      <x:c r="V56" s="17"/>
      <x:c r="W56" s="17"/>
      <x:c r="X56" s="17" t="str">
        <x:v>Imported research lead only. Verify attribution, deadline, scope and outcome; do not inherit the legacy score. Draft category needs review.</x:v>
      </x:c>
      <x:c r="Y56" s="17" t="str">
        <x:v>DEC-021</x:v>
      </x:c>
      <x:c r="Z56" s="17" t="str">
        <x:f>IF(A56="","",IF(M56="EXCLUDED","EXCLUDED",IF(M56&lt;&gt;"VERIFIED","UNREVIEWED",IF(OR(H56="",I56="UNASSESSABLE",J56="UNASSESSABLE"),"UNSCORABLE",IF(H56&gt;=L56,IF(J56="FULL","CORRECT","PENDING"),IF(I56="FULL","CORRECT",IF(J56="FULL","LATE",IF(OR(I56="PARTIAL",J56="PARTIAL"),"PARTIAL","WRONG / MISSED"))))))))</x:f>
        <x:v>UNREVIEWED</x:v>
      </x:c>
      <x:c r="AA56" s="17" t="str">
        <x:f>IF(OR(A56="",M56&lt;&gt;"VERIFIED",H56="",K56="",J56&lt;&gt;"FULL"),"",K56-H56)</x:f>
      </x:c>
      <x:c r="AB56" s="17" t="str">
        <x:f>IF(OR(A56="",M56&lt;&gt;"VERIFIED",H56="",H56&gt;=L56,J56="FULL",J56="UNASSESSABLE"),"",L56-H56)</x:f>
      </x:c>
      <x:c r="AC56" s="17" t="n">
        <x:f>IF(AND(A56&lt;&gt;"",M56="VERIFIED",N56="YES",H56&lt;&gt;"",H56&lt;L56,I56&lt;&gt;"UNASSESSABLE",I56&lt;&gt;"UNREVIEWED",I56&lt;&gt;"NOT_DUE"),1,0)</x:f>
        <x:v>0</x:v>
      </x:c>
      <x:c r="AD56" s="17" t="n">
        <x:f>IF(AND(AC56=1,I56="FULL"),1,0)</x:f>
        <x:v>0</x:v>
      </x:c>
      <x:c r="AE56" s="17" t="n">
        <x:f>IF(AND(AC56=1,OR(I56="FULL",J56="FULL")),1,0)</x:f>
        <x:v>0</x:v>
      </x:c>
      <x:c r="AF56" s="20"/>
    </x:row>
    <x:row r="57" ht="58" customHeight="1">
      <x:c r="A57" s="17" t="str">
        <x:v>DEC-022</x:v>
      </x:c>
      <x:c r="B57" s="17" t="str">
        <x:v>AI-driven cars by 2010s</x:v>
      </x:c>
      <x:c r="C57" s="17" t="str">
        <x:v>Robotics &amp; transportation</x:v>
      </x:c>
      <x:c r="D57" s="17" t="str">
        <x:v>Robotics</x:v>
      </x:c>
      <x:c r="E57" s="17" t="str">
        <x:v>Singularity Is Near (2005)</x:v>
      </x:c>
      <x:c r="F57" s="17" t="n">
        <x:v>2005</x:v>
      </x:c>
      <x:c r="G57" s="17" t="str">
        <x:v>2015</x:v>
      </x:c>
      <x:c r="H57" s="20"/>
      <x:c r="I57" s="17" t="str">
        <x:v>UNREVIEWED</x:v>
      </x:c>
      <x:c r="J57" s="17" t="str">
        <x:v>UNREVIEWED</x:v>
      </x:c>
      <x:c r="K57" s="20"/>
      <x:c r="L57" s="20" t="n">
        <x:v>2026</x:v>
      </x:c>
      <x:c r="M57" s="17" t="str">
        <x:v>UNREVIEWED</x:v>
      </x:c>
      <x:c r="N57" s="17" t="str">
        <x:v>NO</x:v>
      </x:c>
      <x:c r="O57" s="17"/>
      <x:c r="P57" s="17" t="str">
        <x:v>DEC-022</x:v>
      </x:c>
      <x:c r="Q57" s="17"/>
      <x:c r="R57" s="17"/>
      <x:c r="S57" s="17"/>
      <x:c r="T57" s="17"/>
      <x:c r="U57" s="17" t="str">
        <x:v>NO</x:v>
      </x:c>
      <x:c r="V57" s="17"/>
      <x:c r="W57" s="17"/>
      <x:c r="X57" s="17" t="str">
        <x:v>Imported research lead only. Verify attribution, deadline, scope and outcome; do not inherit the legacy score. Draft category needs review.</x:v>
      </x:c>
      <x:c r="Y57" s="17" t="str">
        <x:v>DEC-022</x:v>
      </x:c>
      <x:c r="Z57" s="17" t="str">
        <x:f>IF(A57="","",IF(M57="EXCLUDED","EXCLUDED",IF(M57&lt;&gt;"VERIFIED","UNREVIEWED",IF(OR(H57="",I57="UNASSESSABLE",J57="UNASSESSABLE"),"UNSCORABLE",IF(H57&gt;=L57,IF(J57="FULL","CORRECT","PENDING"),IF(I57="FULL","CORRECT",IF(J57="FULL","LATE",IF(OR(I57="PARTIAL",J57="PARTIAL"),"PARTIAL","WRONG / MISSED"))))))))</x:f>
        <x:v>UNREVIEWED</x:v>
      </x:c>
      <x:c r="AA57" s="17" t="str">
        <x:f>IF(OR(A57="",M57&lt;&gt;"VERIFIED",H57="",K57="",J57&lt;&gt;"FULL"),"",K57-H57)</x:f>
      </x:c>
      <x:c r="AB57" s="17" t="str">
        <x:f>IF(OR(A57="",M57&lt;&gt;"VERIFIED",H57="",H57&gt;=L57,J57="FULL",J57="UNASSESSABLE"),"",L57-H57)</x:f>
      </x:c>
      <x:c r="AC57" s="17" t="n">
        <x:f>IF(AND(A57&lt;&gt;"",M57="VERIFIED",N57="YES",H57&lt;&gt;"",H57&lt;L57,I57&lt;&gt;"UNASSESSABLE",I57&lt;&gt;"UNREVIEWED",I57&lt;&gt;"NOT_DUE"),1,0)</x:f>
        <x:v>0</x:v>
      </x:c>
      <x:c r="AD57" s="17" t="n">
        <x:f>IF(AND(AC57=1,I57="FULL"),1,0)</x:f>
        <x:v>0</x:v>
      </x:c>
      <x:c r="AE57" s="17" t="n">
        <x:f>IF(AND(AC57=1,OR(I57="FULL",J57="FULL")),1,0)</x:f>
        <x:v>0</x:v>
      </x:c>
      <x:c r="AF57" s="20"/>
    </x:row>
    <x:row r="58" ht="58" customHeight="1">
      <x:c r="A58" s="17" t="str">
        <x:v>DEC-023</x:v>
      </x:c>
      <x:c r="B58" s="17" t="str">
        <x:v>Bioengineered organs for transplant by 2010s</x:v>
      </x:c>
      <x:c r="C58" s="17" t="str">
        <x:v>Biology &amp; medicine</x:v>
      </x:c>
      <x:c r="D58" s="17" t="str">
        <x:v>Biotech</x:v>
      </x:c>
      <x:c r="E58" s="17" t="str">
        <x:v>Singularity Is Near (2005)</x:v>
      </x:c>
      <x:c r="F58" s="17" t="n">
        <x:v>2005</x:v>
      </x:c>
      <x:c r="G58" s="17" t="str">
        <x:v>2015</x:v>
      </x:c>
      <x:c r="H58" s="20"/>
      <x:c r="I58" s="17" t="str">
        <x:v>UNREVIEWED</x:v>
      </x:c>
      <x:c r="J58" s="17" t="str">
        <x:v>UNREVIEWED</x:v>
      </x:c>
      <x:c r="K58" s="20"/>
      <x:c r="L58" s="20" t="n">
        <x:v>2026</x:v>
      </x:c>
      <x:c r="M58" s="17" t="str">
        <x:v>UNREVIEWED</x:v>
      </x:c>
      <x:c r="N58" s="17" t="str">
        <x:v>NO</x:v>
      </x:c>
      <x:c r="O58" s="17"/>
      <x:c r="P58" s="17" t="str">
        <x:v>DEC-023</x:v>
      </x:c>
      <x:c r="Q58" s="17"/>
      <x:c r="R58" s="17"/>
      <x:c r="S58" s="17"/>
      <x:c r="T58" s="17"/>
      <x:c r="U58" s="17" t="str">
        <x:v>NO</x:v>
      </x:c>
      <x:c r="V58" s="17"/>
      <x:c r="W58" s="17"/>
      <x:c r="X58" s="17" t="str">
        <x:v>Imported research lead only. Verify attribution, deadline, scope and outcome; do not inherit the legacy score. Draft category needs review. Unquoted comma in legacy Actual Outcome field repaired for parsing; raw row preserved.</x:v>
      </x:c>
      <x:c r="Y58" s="17" t="str">
        <x:v>DEC-023</x:v>
      </x:c>
      <x:c r="Z58" s="17" t="str">
        <x:f>IF(A58="","",IF(M58="EXCLUDED","EXCLUDED",IF(M58&lt;&gt;"VERIFIED","UNREVIEWED",IF(OR(H58="",I58="UNASSESSABLE",J58="UNASSESSABLE"),"UNSCORABLE",IF(H58&gt;=L58,IF(J58="FULL","CORRECT","PENDING"),IF(I58="FULL","CORRECT",IF(J58="FULL","LATE",IF(OR(I58="PARTIAL",J58="PARTIAL"),"PARTIAL","WRONG / MISSED"))))))))</x:f>
        <x:v>UNREVIEWED</x:v>
      </x:c>
      <x:c r="AA58" s="17" t="str">
        <x:f>IF(OR(A58="",M58&lt;&gt;"VERIFIED",H58="",K58="",J58&lt;&gt;"FULL"),"",K58-H58)</x:f>
      </x:c>
      <x:c r="AB58" s="17" t="str">
        <x:f>IF(OR(A58="",M58&lt;&gt;"VERIFIED",H58="",H58&gt;=L58,J58="FULL",J58="UNASSESSABLE"),"",L58-H58)</x:f>
      </x:c>
      <x:c r="AC58" s="17" t="n">
        <x:f>IF(AND(A58&lt;&gt;"",M58="VERIFIED",N58="YES",H58&lt;&gt;"",H58&lt;L58,I58&lt;&gt;"UNASSESSABLE",I58&lt;&gt;"UNREVIEWED",I58&lt;&gt;"NOT_DUE"),1,0)</x:f>
        <x:v>0</x:v>
      </x:c>
      <x:c r="AD58" s="17" t="n">
        <x:f>IF(AND(AC58=1,I58="FULL"),1,0)</x:f>
        <x:v>0</x:v>
      </x:c>
      <x:c r="AE58" s="17" t="n">
        <x:f>IF(AND(AC58=1,OR(I58="FULL",J58="FULL")),1,0)</x:f>
        <x:v>0</x:v>
      </x:c>
      <x:c r="AF58" s="20"/>
    </x:row>
    <x:row r="59" ht="58" customHeight="1">
      <x:c r="A59" s="17" t="str">
        <x:v>DEC-024</x:v>
      </x:c>
      <x:c r="B59" s="17" t="str">
        <x:v>Nanobots in bloodstream by 2020s</x:v>
      </x:c>
      <x:c r="C59" s="17" t="str">
        <x:v>Biology &amp; medicine</x:v>
      </x:c>
      <x:c r="D59" s="17" t="str">
        <x:v>Biotech</x:v>
      </x:c>
      <x:c r="E59" s="17" t="str">
        <x:v>Singularity Is Near (2005)</x:v>
      </x:c>
      <x:c r="F59" s="17" t="n">
        <x:v>2005</x:v>
      </x:c>
      <x:c r="G59" s="17" t="str">
        <x:v>2020</x:v>
      </x:c>
      <x:c r="H59" s="20"/>
      <x:c r="I59" s="17" t="str">
        <x:v>UNREVIEWED</x:v>
      </x:c>
      <x:c r="J59" s="17" t="str">
        <x:v>UNREVIEWED</x:v>
      </x:c>
      <x:c r="K59" s="20"/>
      <x:c r="L59" s="20" t="n">
        <x:v>2026</x:v>
      </x:c>
      <x:c r="M59" s="17" t="str">
        <x:v>UNREVIEWED</x:v>
      </x:c>
      <x:c r="N59" s="17" t="str">
        <x:v>NO</x:v>
      </x:c>
      <x:c r="O59" s="17"/>
      <x:c r="P59" s="17" t="str">
        <x:v>DEC-024</x:v>
      </x:c>
      <x:c r="Q59" s="17"/>
      <x:c r="R59" s="17"/>
      <x:c r="S59" s="17"/>
      <x:c r="T59" s="17"/>
      <x:c r="U59" s="17" t="str">
        <x:v>NO</x:v>
      </x:c>
      <x:c r="V59" s="17"/>
      <x:c r="W59" s="17"/>
      <x:c r="X59" s="17" t="str">
        <x:v>Imported research lead only. Verify attribution, deadline, scope and outcome; do not inherit the legacy score. Draft category needs review.</x:v>
      </x:c>
      <x:c r="Y59" s="17" t="str">
        <x:v>DEC-024</x:v>
      </x:c>
      <x:c r="Z59" s="17" t="str">
        <x:f>IF(A59="","",IF(M59="EXCLUDED","EXCLUDED",IF(M59&lt;&gt;"VERIFIED","UNREVIEWED",IF(OR(H59="",I59="UNASSESSABLE",J59="UNASSESSABLE"),"UNSCORABLE",IF(H59&gt;=L59,IF(J59="FULL","CORRECT","PENDING"),IF(I59="FULL","CORRECT",IF(J59="FULL","LATE",IF(OR(I59="PARTIAL",J59="PARTIAL"),"PARTIAL","WRONG / MISSED"))))))))</x:f>
        <x:v>UNREVIEWED</x:v>
      </x:c>
      <x:c r="AA59" s="17" t="str">
        <x:f>IF(OR(A59="",M59&lt;&gt;"VERIFIED",H59="",K59="",J59&lt;&gt;"FULL"),"",K59-H59)</x:f>
      </x:c>
      <x:c r="AB59" s="17" t="str">
        <x:f>IF(OR(A59="",M59&lt;&gt;"VERIFIED",H59="",H59&gt;=L59,J59="FULL",J59="UNASSESSABLE"),"",L59-H59)</x:f>
      </x:c>
      <x:c r="AC59" s="17" t="n">
        <x:f>IF(AND(A59&lt;&gt;"",M59="VERIFIED",N59="YES",H59&lt;&gt;"",H59&lt;L59,I59&lt;&gt;"UNASSESSABLE",I59&lt;&gt;"UNREVIEWED",I59&lt;&gt;"NOT_DUE"),1,0)</x:f>
        <x:v>0</x:v>
      </x:c>
      <x:c r="AD59" s="17" t="n">
        <x:f>IF(AND(AC59=1,I59="FULL"),1,0)</x:f>
        <x:v>0</x:v>
      </x:c>
      <x:c r="AE59" s="17" t="n">
        <x:f>IF(AND(AC59=1,OR(I59="FULL",J59="FULL")),1,0)</x:f>
        <x:v>0</x:v>
      </x:c>
      <x:c r="AF59" s="20"/>
    </x:row>
    <x:row r="60" ht="58" customHeight="1">
      <x:c r="A60" s="17" t="str">
        <x:v>DEC-025</x:v>
      </x:c>
      <x:c r="B60" s="17" t="str">
        <x:v>Constant wireless Internet access by 2015</x:v>
      </x:c>
      <x:c r="C60" s="17" t="str">
        <x:v>Computing hardware</x:v>
      </x:c>
      <x:c r="D60" s="17" t="str">
        <x:v>Computing</x:v>
      </x:c>
      <x:c r="E60" s="17" t="str">
        <x:v>Singularity Is Near (2005)</x:v>
      </x:c>
      <x:c r="F60" s="17" t="n">
        <x:v>2005</x:v>
      </x:c>
      <x:c r="G60" s="17" t="str">
        <x:v>2015</x:v>
      </x:c>
      <x:c r="H60" s="20"/>
      <x:c r="I60" s="17" t="str">
        <x:v>UNREVIEWED</x:v>
      </x:c>
      <x:c r="J60" s="17" t="str">
        <x:v>UNREVIEWED</x:v>
      </x:c>
      <x:c r="K60" s="20"/>
      <x:c r="L60" s="20" t="n">
        <x:v>2026</x:v>
      </x:c>
      <x:c r="M60" s="17" t="str">
        <x:v>UNREVIEWED</x:v>
      </x:c>
      <x:c r="N60" s="17" t="str">
        <x:v>NO</x:v>
      </x:c>
      <x:c r="O60" s="17"/>
      <x:c r="P60" s="17" t="str">
        <x:v>DEC-025</x:v>
      </x:c>
      <x:c r="Q60" s="17"/>
      <x:c r="R60" s="17"/>
      <x:c r="S60" s="17"/>
      <x:c r="T60" s="17"/>
      <x:c r="U60" s="17" t="str">
        <x:v>NO</x:v>
      </x:c>
      <x:c r="V60" s="17"/>
      <x:c r="W60" s="17"/>
      <x:c r="X60" s="17" t="str">
        <x:v>Imported research lead only. Verify attribution, deadline, scope and outcome; do not inherit the legacy score. Draft category needs review.</x:v>
      </x:c>
      <x:c r="Y60" s="17" t="str">
        <x:v>DEC-025</x:v>
      </x:c>
      <x:c r="Z60" s="17" t="str">
        <x:f>IF(A60="","",IF(M60="EXCLUDED","EXCLUDED",IF(M60&lt;&gt;"VERIFIED","UNREVIEWED",IF(OR(H60="",I60="UNASSESSABLE",J60="UNASSESSABLE"),"UNSCORABLE",IF(H60&gt;=L60,IF(J60="FULL","CORRECT","PENDING"),IF(I60="FULL","CORRECT",IF(J60="FULL","LATE",IF(OR(I60="PARTIAL",J60="PARTIAL"),"PARTIAL","WRONG / MISSED"))))))))</x:f>
        <x:v>UNREVIEWED</x:v>
      </x:c>
      <x:c r="AA60" s="17" t="str">
        <x:f>IF(OR(A60="",M60&lt;&gt;"VERIFIED",H60="",K60="",J60&lt;&gt;"FULL"),"",K60-H60)</x:f>
      </x:c>
      <x:c r="AB60" s="17" t="str">
        <x:f>IF(OR(A60="",M60&lt;&gt;"VERIFIED",H60="",H60&gt;=L60,J60="FULL",J60="UNASSESSABLE"),"",L60-H60)</x:f>
      </x:c>
      <x:c r="AC60" s="17" t="n">
        <x:f>IF(AND(A60&lt;&gt;"",M60="VERIFIED",N60="YES",H60&lt;&gt;"",H60&lt;L60,I60&lt;&gt;"UNASSESSABLE",I60&lt;&gt;"UNREVIEWED",I60&lt;&gt;"NOT_DUE"),1,0)</x:f>
        <x:v>0</x:v>
      </x:c>
      <x:c r="AD60" s="17" t="n">
        <x:f>IF(AND(AC60=1,I60="FULL"),1,0)</x:f>
        <x:v>0</x:v>
      </x:c>
      <x:c r="AE60" s="17" t="n">
        <x:f>IF(AND(AC60=1,OR(I60="FULL",J60="FULL")),1,0)</x:f>
        <x:v>0</x:v>
      </x:c>
      <x:c r="AF60" s="20"/>
    </x:row>
    <x:row r="61" ht="58" customHeight="1">
      <x:c r="A61" s="17" t="str">
        <x:v>DEC-026</x:v>
      </x:c>
      <x:c r="B61" s="17" t="str">
        <x:v>Most paper scanned &amp; searchable by 2015</x:v>
      </x:c>
      <x:c r="C61" s="17" t="str">
        <x:v>Computing hardware</x:v>
      </x:c>
      <x:c r="D61" s="17" t="str">
        <x:v>Computing</x:v>
      </x:c>
      <x:c r="E61" s="17" t="str">
        <x:v>Singularity Is Near (2005)</x:v>
      </x:c>
      <x:c r="F61" s="17" t="n">
        <x:v>2005</x:v>
      </x:c>
      <x:c r="G61" s="17" t="str">
        <x:v>2015</x:v>
      </x:c>
      <x:c r="H61" s="20"/>
      <x:c r="I61" s="17" t="str">
        <x:v>UNREVIEWED</x:v>
      </x:c>
      <x:c r="J61" s="17" t="str">
        <x:v>UNREVIEWED</x:v>
      </x:c>
      <x:c r="K61" s="20"/>
      <x:c r="L61" s="20" t="n">
        <x:v>2026</x:v>
      </x:c>
      <x:c r="M61" s="17" t="str">
        <x:v>UNREVIEWED</x:v>
      </x:c>
      <x:c r="N61" s="17" t="str">
        <x:v>NO</x:v>
      </x:c>
      <x:c r="O61" s="17"/>
      <x:c r="P61" s="17" t="str">
        <x:v>DEC-026</x:v>
      </x:c>
      <x:c r="Q61" s="17"/>
      <x:c r="R61" s="17"/>
      <x:c r="S61" s="17"/>
      <x:c r="T61" s="17"/>
      <x:c r="U61" s="17" t="str">
        <x:v>NO</x:v>
      </x:c>
      <x:c r="V61" s="17"/>
      <x:c r="W61" s="17"/>
      <x:c r="X61" s="17" t="str">
        <x:v>Imported research lead only. Verify attribution, deadline, scope and outcome; do not inherit the legacy score. Draft category needs review.</x:v>
      </x:c>
      <x:c r="Y61" s="17" t="str">
        <x:v>DEC-026</x:v>
      </x:c>
      <x:c r="Z61" s="17" t="str">
        <x:f>IF(A61="","",IF(M61="EXCLUDED","EXCLUDED",IF(M61&lt;&gt;"VERIFIED","UNREVIEWED",IF(OR(H61="",I61="UNASSESSABLE",J61="UNASSESSABLE"),"UNSCORABLE",IF(H61&gt;=L61,IF(J61="FULL","CORRECT","PENDING"),IF(I61="FULL","CORRECT",IF(J61="FULL","LATE",IF(OR(I61="PARTIAL",J61="PARTIAL"),"PARTIAL","WRONG / MISSED"))))))))</x:f>
        <x:v>UNREVIEWED</x:v>
      </x:c>
      <x:c r="AA61" s="17" t="str">
        <x:f>IF(OR(A61="",M61&lt;&gt;"VERIFIED",H61="",K61="",J61&lt;&gt;"FULL"),"",K61-H61)</x:f>
      </x:c>
      <x:c r="AB61" s="17" t="str">
        <x:f>IF(OR(A61="",M61&lt;&gt;"VERIFIED",H61="",H61&gt;=L61,J61="FULL",J61="UNASSESSABLE"),"",L61-H61)</x:f>
      </x:c>
      <x:c r="AC61" s="17" t="n">
        <x:f>IF(AND(A61&lt;&gt;"",M61="VERIFIED",N61="YES",H61&lt;&gt;"",H61&lt;L61,I61&lt;&gt;"UNASSESSABLE",I61&lt;&gt;"UNREVIEWED",I61&lt;&gt;"NOT_DUE"),1,0)</x:f>
        <x:v>0</x:v>
      </x:c>
      <x:c r="AD61" s="17" t="n">
        <x:f>IF(AND(AC61=1,I61="FULL"),1,0)</x:f>
        <x:v>0</x:v>
      </x:c>
      <x:c r="AE61" s="17" t="n">
        <x:f>IF(AND(AC61=1,OR(I61="FULL",J61="FULL")),1,0)</x:f>
        <x:v>0</x:v>
      </x:c>
      <x:c r="AF61" s="20"/>
    </x:row>
    <x:row r="62" ht="58" customHeight="1">
      <x:c r="A62" s="17" t="str">
        <x:v>DEC-027</x:v>
      </x:c>
      <x:c r="B62" s="17" t="str">
        <x:v>Computer passes Turing Test by 2029</x:v>
      </x:c>
      <x:c r="C62" s="17" t="str">
        <x:v>AI &amp; software</x:v>
      </x:c>
      <x:c r="D62" s="17" t="str">
        <x:v>AI</x:v>
      </x:c>
      <x:c r="E62" s="17" t="str">
        <x:v>Singularity Is Near (2005)</x:v>
      </x:c>
      <x:c r="F62" s="17" t="n">
        <x:v>2005</x:v>
      </x:c>
      <x:c r="G62" s="17" t="str">
        <x:v>2029</x:v>
      </x:c>
      <x:c r="H62" s="20"/>
      <x:c r="I62" s="17" t="str">
        <x:v>UNREVIEWED</x:v>
      </x:c>
      <x:c r="J62" s="17" t="str">
        <x:v>UNREVIEWED</x:v>
      </x:c>
      <x:c r="K62" s="20"/>
      <x:c r="L62" s="20" t="n">
        <x:v>2026</x:v>
      </x:c>
      <x:c r="M62" s="17" t="str">
        <x:v>UNREVIEWED</x:v>
      </x:c>
      <x:c r="N62" s="17" t="str">
        <x:v>NO</x:v>
      </x:c>
      <x:c r="O62" s="17"/>
      <x:c r="P62" s="17" t="str">
        <x:v>DEC-027</x:v>
      </x:c>
      <x:c r="Q62" s="17"/>
      <x:c r="R62" s="17"/>
      <x:c r="S62" s="17"/>
      <x:c r="T62" s="17"/>
      <x:c r="U62" s="17" t="str">
        <x:v>NO</x:v>
      </x:c>
      <x:c r="V62" s="17"/>
      <x:c r="W62" s="17"/>
      <x:c r="X62" s="17" t="str">
        <x:v>Imported research lead only. Verify attribution, deadline, scope and outcome; do not inherit the legacy score. Draft category needs review.</x:v>
      </x:c>
      <x:c r="Y62" s="17" t="str">
        <x:v>DEC-027</x:v>
      </x:c>
      <x:c r="Z62" s="17" t="str">
        <x:f>IF(A62="","",IF(M62="EXCLUDED","EXCLUDED",IF(M62&lt;&gt;"VERIFIED","UNREVIEWED",IF(OR(H62="",I62="UNASSESSABLE",J62="UNASSESSABLE"),"UNSCORABLE",IF(H62&gt;=L62,IF(J62="FULL","CORRECT","PENDING"),IF(I62="FULL","CORRECT",IF(J62="FULL","LATE",IF(OR(I62="PARTIAL",J62="PARTIAL"),"PARTIAL","WRONG / MISSED"))))))))</x:f>
        <x:v>UNREVIEWED</x:v>
      </x:c>
      <x:c r="AA62" s="17" t="str">
        <x:f>IF(OR(A62="",M62&lt;&gt;"VERIFIED",H62="",K62="",J62&lt;&gt;"FULL"),"",K62-H62)</x:f>
      </x:c>
      <x:c r="AB62" s="17" t="str">
        <x:f>IF(OR(A62="",M62&lt;&gt;"VERIFIED",H62="",H62&gt;=L62,J62="FULL",J62="UNASSESSABLE"),"",L62-H62)</x:f>
      </x:c>
      <x:c r="AC62" s="17" t="n">
        <x:f>IF(AND(A62&lt;&gt;"",M62="VERIFIED",N62="YES",H62&lt;&gt;"",H62&lt;L62,I62&lt;&gt;"UNASSESSABLE",I62&lt;&gt;"UNREVIEWED",I62&lt;&gt;"NOT_DUE"),1,0)</x:f>
        <x:v>0</x:v>
      </x:c>
      <x:c r="AD62" s="17" t="n">
        <x:f>IF(AND(AC62=1,I62="FULL"),1,0)</x:f>
        <x:v>0</x:v>
      </x:c>
      <x:c r="AE62" s="17" t="n">
        <x:f>IF(AND(AC62=1,OR(I62="FULL",J62="FULL")),1,0)</x:f>
        <x:v>0</x:v>
      </x:c>
      <x:c r="AF62" s="20"/>
    </x:row>
    <x:row r="63" ht="58" customHeight="1">
      <x:c r="A63" s="17" t="str">
        <x:v>DEC-028</x:v>
      </x:c>
      <x:c r="B63" s="17" t="str">
        <x:v>Virtual reality indistinguishable by 2020s</x:v>
      </x:c>
      <x:c r="C63" s="17" t="str">
        <x:v>Interfaces &amp; virtual worlds</x:v>
      </x:c>
      <x:c r="D63" s="17" t="str">
        <x:v>VR</x:v>
      </x:c>
      <x:c r="E63" s="17" t="str">
        <x:v>Singularity Is Near (2005)</x:v>
      </x:c>
      <x:c r="F63" s="17" t="n">
        <x:v>2005</x:v>
      </x:c>
      <x:c r="G63" s="17" t="str">
        <x:v>2029</x:v>
      </x:c>
      <x:c r="H63" s="20"/>
      <x:c r="I63" s="17" t="str">
        <x:v>UNREVIEWED</x:v>
      </x:c>
      <x:c r="J63" s="17" t="str">
        <x:v>UNREVIEWED</x:v>
      </x:c>
      <x:c r="K63" s="20"/>
      <x:c r="L63" s="20" t="n">
        <x:v>2026</x:v>
      </x:c>
      <x:c r="M63" s="17" t="str">
        <x:v>UNREVIEWED</x:v>
      </x:c>
      <x:c r="N63" s="17" t="str">
        <x:v>NO</x:v>
      </x:c>
      <x:c r="O63" s="17"/>
      <x:c r="P63" s="17" t="str">
        <x:v>DEC-028</x:v>
      </x:c>
      <x:c r="Q63" s="17"/>
      <x:c r="R63" s="17"/>
      <x:c r="S63" s="17"/>
      <x:c r="T63" s="17"/>
      <x:c r="U63" s="17" t="str">
        <x:v>NO</x:v>
      </x:c>
      <x:c r="V63" s="17"/>
      <x:c r="W63" s="17"/>
      <x:c r="X63" s="17" t="str">
        <x:v>Imported research lead only. Verify attribution, deadline, scope and outcome; do not inherit the legacy score. Draft category needs review.</x:v>
      </x:c>
      <x:c r="Y63" s="17" t="str">
        <x:v>DEC-028</x:v>
      </x:c>
      <x:c r="Z63" s="17" t="str">
        <x:f>IF(A63="","",IF(M63="EXCLUDED","EXCLUDED",IF(M63&lt;&gt;"VERIFIED","UNREVIEWED",IF(OR(H63="",I63="UNASSESSABLE",J63="UNASSESSABLE"),"UNSCORABLE",IF(H63&gt;=L63,IF(J63="FULL","CORRECT","PENDING"),IF(I63="FULL","CORRECT",IF(J63="FULL","LATE",IF(OR(I63="PARTIAL",J63="PARTIAL"),"PARTIAL","WRONG / MISSED"))))))))</x:f>
        <x:v>UNREVIEWED</x:v>
      </x:c>
      <x:c r="AA63" s="17" t="str">
        <x:f>IF(OR(A63="",M63&lt;&gt;"VERIFIED",H63="",K63="",J63&lt;&gt;"FULL"),"",K63-H63)</x:f>
      </x:c>
      <x:c r="AB63" s="17" t="str">
        <x:f>IF(OR(A63="",M63&lt;&gt;"VERIFIED",H63="",H63&gt;=L63,J63="FULL",J63="UNASSESSABLE"),"",L63-H63)</x:f>
      </x:c>
      <x:c r="AC63" s="17" t="n">
        <x:f>IF(AND(A63&lt;&gt;"",M63="VERIFIED",N63="YES",H63&lt;&gt;"",H63&lt;L63,I63&lt;&gt;"UNASSESSABLE",I63&lt;&gt;"UNREVIEWED",I63&lt;&gt;"NOT_DUE"),1,0)</x:f>
        <x:v>0</x:v>
      </x:c>
      <x:c r="AD63" s="17" t="n">
        <x:f>IF(AND(AC63=1,I63="FULL"),1,0)</x:f>
        <x:v>0</x:v>
      </x:c>
      <x:c r="AE63" s="17" t="n">
        <x:f>IF(AND(AC63=1,OR(I63="FULL",J63="FULL")),1,0)</x:f>
        <x:v>0</x:v>
      </x:c>
      <x:c r="AF63" s="20"/>
    </x:row>
    <x:row r="64" ht="58" customHeight="1">
      <x:c r="A64" s="17" t="str">
        <x:v>DEC-029</x:v>
      </x:c>
      <x:c r="B64" s="17" t="str">
        <x:v>Tether consciousness (mind-upload) by 2030s</x:v>
      </x:c>
      <x:c r="C64" s="17" t="str">
        <x:v>Biology &amp; medicine</x:v>
      </x:c>
      <x:c r="D64" s="17" t="str">
        <x:v>Biotech</x:v>
      </x:c>
      <x:c r="E64" s="17" t="str">
        <x:v>Singularity Is Near (2005)</x:v>
      </x:c>
      <x:c r="F64" s="17" t="n">
        <x:v>2005</x:v>
      </x:c>
      <x:c r="G64" s="17" t="str">
        <x:v>2030s</x:v>
      </x:c>
      <x:c r="H64" s="20"/>
      <x:c r="I64" s="17" t="str">
        <x:v>UNREVIEWED</x:v>
      </x:c>
      <x:c r="J64" s="17" t="str">
        <x:v>UNREVIEWED</x:v>
      </x:c>
      <x:c r="K64" s="20"/>
      <x:c r="L64" s="20" t="n">
        <x:v>2026</x:v>
      </x:c>
      <x:c r="M64" s="17" t="str">
        <x:v>UNREVIEWED</x:v>
      </x:c>
      <x:c r="N64" s="17" t="str">
        <x:v>NO</x:v>
      </x:c>
      <x:c r="O64" s="17"/>
      <x:c r="P64" s="17" t="str">
        <x:v>DEC-029</x:v>
      </x:c>
      <x:c r="Q64" s="17"/>
      <x:c r="R64" s="17"/>
      <x:c r="S64" s="17"/>
      <x:c r="T64" s="17"/>
      <x:c r="U64" s="17" t="str">
        <x:v>NO</x:v>
      </x:c>
      <x:c r="V64" s="17"/>
      <x:c r="W64" s="17"/>
      <x:c r="X64" s="17" t="str">
        <x:v>Imported research lead only. Verify attribution, deadline, scope and outcome; do not inherit the legacy score. Draft category needs review.</x:v>
      </x:c>
      <x:c r="Y64" s="17" t="str">
        <x:v>DEC-029</x:v>
      </x:c>
      <x:c r="Z64" s="17" t="str">
        <x:f>IF(A64="","",IF(M64="EXCLUDED","EXCLUDED",IF(M64&lt;&gt;"VERIFIED","UNREVIEWED",IF(OR(H64="",I64="UNASSESSABLE",J64="UNASSESSABLE"),"UNSCORABLE",IF(H64&gt;=L64,IF(J64="FULL","CORRECT","PENDING"),IF(I64="FULL","CORRECT",IF(J64="FULL","LATE",IF(OR(I64="PARTIAL",J64="PARTIAL"),"PARTIAL","WRONG / MISSED"))))))))</x:f>
        <x:v>UNREVIEWED</x:v>
      </x:c>
      <x:c r="AA64" s="17" t="str">
        <x:f>IF(OR(A64="",M64&lt;&gt;"VERIFIED",H64="",K64="",J64&lt;&gt;"FULL"),"",K64-H64)</x:f>
      </x:c>
      <x:c r="AB64" s="17" t="str">
        <x:f>IF(OR(A64="",M64&lt;&gt;"VERIFIED",H64="",H64&gt;=L64,J64="FULL",J64="UNASSESSABLE"),"",L64-H64)</x:f>
      </x:c>
      <x:c r="AC64" s="17" t="n">
        <x:f>IF(AND(A64&lt;&gt;"",M64="VERIFIED",N64="YES",H64&lt;&gt;"",H64&lt;L64,I64&lt;&gt;"UNASSESSABLE",I64&lt;&gt;"UNREVIEWED",I64&lt;&gt;"NOT_DUE"),1,0)</x:f>
        <x:v>0</x:v>
      </x:c>
      <x:c r="AD64" s="17" t="n">
        <x:f>IF(AND(AC64=1,I64="FULL"),1,0)</x:f>
        <x:v>0</x:v>
      </x:c>
      <x:c r="AE64" s="17" t="n">
        <x:f>IF(AND(AC64=1,OR(I64="FULL",J64="FULL")),1,0)</x:f>
        <x:v>0</x:v>
      </x:c>
      <x:c r="AF64" s="20"/>
    </x:row>
    <x:row r="65" ht="58" customHeight="1">
      <x:c r="A65" s="17" t="str">
        <x:v>DEC-030</x:v>
      </x:c>
      <x:c r="B65" s="17" t="str">
        <x:v>Humans mostly non-biological by 2030s</x:v>
      </x:c>
      <x:c r="C65" s="17" t="str">
        <x:v>Biology &amp; medicine</x:v>
      </x:c>
      <x:c r="D65" s="17" t="str">
        <x:v>Biotech</x:v>
      </x:c>
      <x:c r="E65" s="17" t="str">
        <x:v>Singularity Is Near (2005)</x:v>
      </x:c>
      <x:c r="F65" s="17" t="n">
        <x:v>2005</x:v>
      </x:c>
      <x:c r="G65" s="17" t="str">
        <x:v>2030s</x:v>
      </x:c>
      <x:c r="H65" s="20"/>
      <x:c r="I65" s="17" t="str">
        <x:v>UNREVIEWED</x:v>
      </x:c>
      <x:c r="J65" s="17" t="str">
        <x:v>UNREVIEWED</x:v>
      </x:c>
      <x:c r="K65" s="20"/>
      <x:c r="L65" s="20" t="n">
        <x:v>2026</x:v>
      </x:c>
      <x:c r="M65" s="17" t="str">
        <x:v>UNREVIEWED</x:v>
      </x:c>
      <x:c r="N65" s="17" t="str">
        <x:v>NO</x:v>
      </x:c>
      <x:c r="O65" s="17"/>
      <x:c r="P65" s="17" t="str">
        <x:v>DEC-030</x:v>
      </x:c>
      <x:c r="Q65" s="17"/>
      <x:c r="R65" s="17"/>
      <x:c r="S65" s="17"/>
      <x:c r="T65" s="17"/>
      <x:c r="U65" s="17" t="str">
        <x:v>NO</x:v>
      </x:c>
      <x:c r="V65" s="17"/>
      <x:c r="W65" s="17"/>
      <x:c r="X65" s="17" t="str">
        <x:v>Imported research lead only. Verify attribution, deadline, scope and outcome; do not inherit the legacy score. Draft category needs review.</x:v>
      </x:c>
      <x:c r="Y65" s="17" t="str">
        <x:v>DEC-030</x:v>
      </x:c>
      <x:c r="Z65" s="17" t="str">
        <x:f>IF(A65="","",IF(M65="EXCLUDED","EXCLUDED",IF(M65&lt;&gt;"VERIFIED","UNREVIEWED",IF(OR(H65="",I65="UNASSESSABLE",J65="UNASSESSABLE"),"UNSCORABLE",IF(H65&gt;=L65,IF(J65="FULL","CORRECT","PENDING"),IF(I65="FULL","CORRECT",IF(J65="FULL","LATE",IF(OR(I65="PARTIAL",J65="PARTIAL"),"PARTIAL","WRONG / MISSED"))))))))</x:f>
        <x:v>UNREVIEWED</x:v>
      </x:c>
      <x:c r="AA65" s="17" t="str">
        <x:f>IF(OR(A65="",M65&lt;&gt;"VERIFIED",H65="",K65="",J65&lt;&gt;"FULL"),"",K65-H65)</x:f>
      </x:c>
      <x:c r="AB65" s="17" t="str">
        <x:f>IF(OR(A65="",M65&lt;&gt;"VERIFIED",H65="",H65&gt;=L65,J65="FULL",J65="UNASSESSABLE"),"",L65-H65)</x:f>
      </x:c>
      <x:c r="AC65" s="17" t="n">
        <x:f>IF(AND(A65&lt;&gt;"",M65="VERIFIED",N65="YES",H65&lt;&gt;"",H65&lt;L65,I65&lt;&gt;"UNASSESSABLE",I65&lt;&gt;"UNREVIEWED",I65&lt;&gt;"NOT_DUE"),1,0)</x:f>
        <x:v>0</x:v>
      </x:c>
      <x:c r="AD65" s="17" t="n">
        <x:f>IF(AND(AC65=1,I65="FULL"),1,0)</x:f>
        <x:v>0</x:v>
      </x:c>
      <x:c r="AE65" s="17" t="n">
        <x:f>IF(AND(AC65=1,OR(I65="FULL",J65="FULL")),1,0)</x:f>
        <x:v>0</x:v>
      </x:c>
      <x:c r="AF65" s="20"/>
    </x:row>
    <x:row r="66" ht="58" customHeight="1">
      <x:c r="A66" s="17" t="str">
        <x:v>DEC-031</x:v>
      </x:c>
      <x:c r="B66" s="17" t="str">
        <x:v>Universal basic income early 2030s (rich) / end of 2030s (worldwide)</x:v>
      </x:c>
      <x:c r="C66" s="17" t="str">
        <x:v>Economy &amp; society</x:v>
      </x:c>
      <x:c r="D66" s="17" t="str">
        <x:v>Society</x:v>
      </x:c>
      <x:c r="E66" s="17" t="str">
        <x:v>TED Talk (2018)</x:v>
      </x:c>
      <x:c r="F66" s="17" t="n">
        <x:v>2018</x:v>
      </x:c>
      <x:c r="G66" s="17" t="str">
        <x:v>2030s</x:v>
      </x:c>
      <x:c r="H66" s="20"/>
      <x:c r="I66" s="17" t="str">
        <x:v>UNREVIEWED</x:v>
      </x:c>
      <x:c r="J66" s="17" t="str">
        <x:v>UNREVIEWED</x:v>
      </x:c>
      <x:c r="K66" s="20"/>
      <x:c r="L66" s="20" t="n">
        <x:v>2026</x:v>
      </x:c>
      <x:c r="M66" s="17" t="str">
        <x:v>UNREVIEWED</x:v>
      </x:c>
      <x:c r="N66" s="17" t="str">
        <x:v>NO</x:v>
      </x:c>
      <x:c r="O66" s="17"/>
      <x:c r="P66" s="17" t="str">
        <x:v>DEC-031</x:v>
      </x:c>
      <x:c r="Q66" s="17"/>
      <x:c r="R66" s="17"/>
      <x:c r="S66" s="17"/>
      <x:c r="T66" s="17"/>
      <x:c r="U66" s="17" t="str">
        <x:v>NO</x:v>
      </x:c>
      <x:c r="V66" s="17"/>
      <x:c r="W66" s="17"/>
      <x:c r="X66" s="17" t="str">
        <x:v>Imported research lead only. Verify attribution, deadline, scope and outcome; do not inherit the legacy score. Draft category needs review.</x:v>
      </x:c>
      <x:c r="Y66" s="17" t="str">
        <x:v>DEC-031</x:v>
      </x:c>
      <x:c r="Z66" s="17" t="str">
        <x:f>IF(A66="","",IF(M66="EXCLUDED","EXCLUDED",IF(M66&lt;&gt;"VERIFIED","UNREVIEWED",IF(OR(H66="",I66="UNASSESSABLE",J66="UNASSESSABLE"),"UNSCORABLE",IF(H66&gt;=L66,IF(J66="FULL","CORRECT","PENDING"),IF(I66="FULL","CORRECT",IF(J66="FULL","LATE",IF(OR(I66="PARTIAL",J66="PARTIAL"),"PARTIAL","WRONG / MISSED"))))))))</x:f>
        <x:v>UNREVIEWED</x:v>
      </x:c>
      <x:c r="AA66" s="17" t="str">
        <x:f>IF(OR(A66="",M66&lt;&gt;"VERIFIED",H66="",K66="",J66&lt;&gt;"FULL"),"",K66-H66)</x:f>
      </x:c>
      <x:c r="AB66" s="17" t="str">
        <x:f>IF(OR(A66="",M66&lt;&gt;"VERIFIED",H66="",H66&gt;=L66,J66="FULL",J66="UNASSESSABLE"),"",L66-H66)</x:f>
      </x:c>
      <x:c r="AC66" s="17" t="n">
        <x:f>IF(AND(A66&lt;&gt;"",M66="VERIFIED",N66="YES",H66&lt;&gt;"",H66&lt;L66,I66&lt;&gt;"UNASSESSABLE",I66&lt;&gt;"UNREVIEWED",I66&lt;&gt;"NOT_DUE"),1,0)</x:f>
        <x:v>0</x:v>
      </x:c>
      <x:c r="AD66" s="17" t="n">
        <x:f>IF(AND(AC66=1,I66="FULL"),1,0)</x:f>
        <x:v>0</x:v>
      </x:c>
      <x:c r="AE66" s="17" t="n">
        <x:f>IF(AND(AC66=1,OR(I66="FULL",J66="FULL")),1,0)</x:f>
        <x:v>0</x:v>
      </x:c>
      <x:c r="AF66" s="20"/>
    </x:row>
    <x:row r="67" ht="58" customHeight="1">
      <x:c r="A67" s="17" t="str">
        <x:v>DEC-032</x:v>
      </x:c>
      <x:c r="B67" s="17" t="str">
        <x:v>First 150-year-old by 2050 (implying longevity breakthroughs)</x:v>
      </x:c>
      <x:c r="C67" s="17" t="str">
        <x:v>Longevity</x:v>
      </x:c>
      <x:c r="D67" s="17" t="str">
        <x:v>Longevity</x:v>
      </x:c>
      <x:c r="E67" s="17" t="str">
        <x:v>Guardian Interview (2024)</x:v>
      </x:c>
      <x:c r="F67" s="17" t="n">
        <x:v>2024</x:v>
      </x:c>
      <x:c r="G67" s="17" t="str">
        <x:v>2050s</x:v>
      </x:c>
      <x:c r="H67" s="20"/>
      <x:c r="I67" s="17" t="str">
        <x:v>UNREVIEWED</x:v>
      </x:c>
      <x:c r="J67" s="17" t="str">
        <x:v>UNREVIEWED</x:v>
      </x:c>
      <x:c r="K67" s="20"/>
      <x:c r="L67" s="20" t="n">
        <x:v>2026</x:v>
      </x:c>
      <x:c r="M67" s="17" t="str">
        <x:v>UNREVIEWED</x:v>
      </x:c>
      <x:c r="N67" s="17" t="str">
        <x:v>NO</x:v>
      </x:c>
      <x:c r="O67" s="17"/>
      <x:c r="P67" s="17" t="str">
        <x:v>DEC-032</x:v>
      </x:c>
      <x:c r="Q67" s="17"/>
      <x:c r="R67" s="17"/>
      <x:c r="S67" s="17"/>
      <x:c r="T67" s="17"/>
      <x:c r="U67" s="17" t="str">
        <x:v>NO</x:v>
      </x:c>
      <x:c r="V67" s="17"/>
      <x:c r="W67" s="17"/>
      <x:c r="X67" s="17" t="str">
        <x:v>Imported research lead only. Verify attribution, deadline, scope and outcome; do not inherit the legacy score. Draft category needs review.</x:v>
      </x:c>
      <x:c r="Y67" s="17" t="str">
        <x:v>DEC-032</x:v>
      </x:c>
      <x:c r="Z67" s="17" t="str">
        <x:f>IF(A67="","",IF(M67="EXCLUDED","EXCLUDED",IF(M67&lt;&gt;"VERIFIED","UNREVIEWED",IF(OR(H67="",I67="UNASSESSABLE",J67="UNASSESSABLE"),"UNSCORABLE",IF(H67&gt;=L67,IF(J67="FULL","CORRECT","PENDING"),IF(I67="FULL","CORRECT",IF(J67="FULL","LATE",IF(OR(I67="PARTIAL",J67="PARTIAL"),"PARTIAL","WRONG / MISSED"))))))))</x:f>
        <x:v>UNREVIEWED</x:v>
      </x:c>
      <x:c r="AA67" s="17" t="str">
        <x:f>IF(OR(A67="",M67&lt;&gt;"VERIFIED",H67="",K67="",J67&lt;&gt;"FULL"),"",K67-H67)</x:f>
      </x:c>
      <x:c r="AB67" s="17" t="str">
        <x:f>IF(OR(A67="",M67&lt;&gt;"VERIFIED",H67="",H67&gt;=L67,J67="FULL",J67="UNASSESSABLE"),"",L67-H67)</x:f>
      </x:c>
      <x:c r="AC67" s="17" t="n">
        <x:f>IF(AND(A67&lt;&gt;"",M67="VERIFIED",N67="YES",H67&lt;&gt;"",H67&lt;L67,I67&lt;&gt;"UNASSESSABLE",I67&lt;&gt;"UNREVIEWED",I67&lt;&gt;"NOT_DUE"),1,0)</x:f>
        <x:v>0</x:v>
      </x:c>
      <x:c r="AD67" s="17" t="n">
        <x:f>IF(AND(AC67=1,I67="FULL"),1,0)</x:f>
        <x:v>0</x:v>
      </x:c>
      <x:c r="AE67" s="17" t="n">
        <x:f>IF(AND(AC67=1,OR(I67="FULL",J67="FULL")),1,0)</x:f>
        <x:v>0</x:v>
      </x:c>
      <x:c r="AF67" s="20"/>
    </x:row>
    <x:row r="68" ht="58" customHeight="1">
      <x:c r="A68" s="17" t="str">
        <x:v>EXE-001</x:v>
      </x:c>
      <x:c r="B68" s="17" t="str">
        <x:v>“we will see a [computer] world champion by the year 2000”【45†L226-L233】</x:v>
      </x:c>
      <x:c r="C68" s="17" t="str">
        <x:v>AI &amp; software</x:v>
      </x:c>
      <x:c r="D68" s="17" t="str">
        <x:v>AI / Games</x:v>
      </x:c>
      <x:c r="E68" s="17" t="str">
        <x:v>*The Age of Intelligent Machines* (1990)</x:v>
      </x:c>
      <x:c r="F68" s="17" t="n">
        <x:v>1990</x:v>
      </x:c>
      <x:c r="G68" s="17" t="str">
        <x:v>2000</x:v>
      </x:c>
      <x:c r="H68" s="20"/>
      <x:c r="I68" s="17" t="str">
        <x:v>UNREVIEWED</x:v>
      </x:c>
      <x:c r="J68" s="17" t="str">
        <x:v>UNREVIEWED</x:v>
      </x:c>
      <x:c r="K68" s="20"/>
      <x:c r="L68" s="20" t="n">
        <x:v>2026</x:v>
      </x:c>
      <x:c r="M68" s="17" t="str">
        <x:v>UNREVIEWED</x:v>
      </x:c>
      <x:c r="N68" s="17" t="str">
        <x:v>NO</x:v>
      </x:c>
      <x:c r="O68" s="17"/>
      <x:c r="P68" s="17" t="str">
        <x:v>EXE-001</x:v>
      </x:c>
      <x:c r="Q68" s="17"/>
      <x:c r="R68" s="17"/>
      <x:c r="S68" s="17"/>
      <x:c r="T68" s="17"/>
      <x:c r="U68" s="17" t="str">
        <x:v>NO</x:v>
      </x:c>
      <x:c r="V68" s="17"/>
      <x:c r="W68" s="17"/>
      <x:c r="X68" s="17" t="str">
        <x:v>Imported research lead only. Verify attribution, deadline, scope and outcome; do not inherit the legacy score. Draft category needs review.</x:v>
      </x:c>
      <x:c r="Y68" s="17" t="str">
        <x:v>EXE-001</x:v>
      </x:c>
      <x:c r="Z68" s="17" t="str">
        <x:f>IF(A68="","",IF(M68="EXCLUDED","EXCLUDED",IF(M68&lt;&gt;"VERIFIED","UNREVIEWED",IF(OR(H68="",I68="UNASSESSABLE",J68="UNASSESSABLE"),"UNSCORABLE",IF(H68&gt;=L68,IF(J68="FULL","CORRECT","PENDING"),IF(I68="FULL","CORRECT",IF(J68="FULL","LATE",IF(OR(I68="PARTIAL",J68="PARTIAL"),"PARTIAL","WRONG / MISSED"))))))))</x:f>
        <x:v>UNREVIEWED</x:v>
      </x:c>
      <x:c r="AA68" s="17" t="str">
        <x:f>IF(OR(A68="",M68&lt;&gt;"VERIFIED",H68="",K68="",J68&lt;&gt;"FULL"),"",K68-H68)</x:f>
      </x:c>
      <x:c r="AB68" s="17" t="str">
        <x:f>IF(OR(A68="",M68&lt;&gt;"VERIFIED",H68="",H68&gt;=L68,J68="FULL",J68="UNASSESSABLE"),"",L68-H68)</x:f>
      </x:c>
      <x:c r="AC68" s="17" t="n">
        <x:f>IF(AND(A68&lt;&gt;"",M68="VERIFIED",N68="YES",H68&lt;&gt;"",H68&lt;L68,I68&lt;&gt;"UNASSESSABLE",I68&lt;&gt;"UNREVIEWED",I68&lt;&gt;"NOT_DUE"),1,0)</x:f>
        <x:v>0</x:v>
      </x:c>
      <x:c r="AD68" s="17" t="n">
        <x:f>IF(AND(AC68=1,I68="FULL"),1,0)</x:f>
        <x:v>0</x:v>
      </x:c>
      <x:c r="AE68" s="17" t="n">
        <x:f>IF(AND(AC68=1,OR(I68="FULL",J68="FULL")),1,0)</x:f>
        <x:v>0</x:v>
      </x:c>
      <x:c r="AF68" s="20"/>
    </x:row>
    <x:row r="69" ht="58" customHeight="1">
      <x:c r="A69" s="17" t="str">
        <x:v>EXE-002</x:v>
      </x:c>
      <x:c r="B69" s="17" t="str">
        <x:v>“translating telephone” (real-time speech translation) by 2010【45†L295-L300】</x:v>
      </x:c>
      <x:c r="C69" s="17" t="str">
        <x:v>Networks &amp; communications</x:v>
      </x:c>
      <x:c r="D69" s="17" t="str">
        <x:v>AI / Comm</x:v>
      </x:c>
      <x:c r="E69" s="17" t="str">
        <x:v>*The Age of Intelligent Machines* (1990)</x:v>
      </x:c>
      <x:c r="F69" s="17" t="n">
        <x:v>1990</x:v>
      </x:c>
      <x:c r="G69" s="17" t="str">
        <x:v>2010</x:v>
      </x:c>
      <x:c r="H69" s="20"/>
      <x:c r="I69" s="17" t="str">
        <x:v>UNREVIEWED</x:v>
      </x:c>
      <x:c r="J69" s="17" t="str">
        <x:v>UNREVIEWED</x:v>
      </x:c>
      <x:c r="K69" s="20"/>
      <x:c r="L69" s="20" t="n">
        <x:v>2026</x:v>
      </x:c>
      <x:c r="M69" s="17" t="str">
        <x:v>UNREVIEWED</x:v>
      </x:c>
      <x:c r="N69" s="17" t="str">
        <x:v>NO</x:v>
      </x:c>
      <x:c r="O69" s="17"/>
      <x:c r="P69" s="17" t="str">
        <x:v>EXE-002</x:v>
      </x:c>
      <x:c r="Q69" s="17"/>
      <x:c r="R69" s="17"/>
      <x:c r="S69" s="17"/>
      <x:c r="T69" s="17"/>
      <x:c r="U69" s="17" t="str">
        <x:v>NO</x:v>
      </x:c>
      <x:c r="V69" s="17"/>
      <x:c r="W69" s="17"/>
      <x:c r="X69" s="17" t="str">
        <x:v>Imported research lead only. Verify attribution, deadline, scope and outcome; do not inherit the legacy score. Draft category needs review.</x:v>
      </x:c>
      <x:c r="Y69" s="17" t="str">
        <x:v>EXE-002</x:v>
      </x:c>
      <x:c r="Z69" s="17" t="str">
        <x:f>IF(A69="","",IF(M69="EXCLUDED","EXCLUDED",IF(M69&lt;&gt;"VERIFIED","UNREVIEWED",IF(OR(H69="",I69="UNASSESSABLE",J69="UNASSESSABLE"),"UNSCORABLE",IF(H69&gt;=L69,IF(J69="FULL","CORRECT","PENDING"),IF(I69="FULL","CORRECT",IF(J69="FULL","LATE",IF(OR(I69="PARTIAL",J69="PARTIAL"),"PARTIAL","WRONG / MISSED"))))))))</x:f>
        <x:v>UNREVIEWED</x:v>
      </x:c>
      <x:c r="AA69" s="17" t="str">
        <x:f>IF(OR(A69="",M69&lt;&gt;"VERIFIED",H69="",K69="",J69&lt;&gt;"FULL"),"",K69-H69)</x:f>
      </x:c>
      <x:c r="AB69" s="17" t="str">
        <x:f>IF(OR(A69="",M69&lt;&gt;"VERIFIED",H69="",H69&gt;=L69,J69="FULL",J69="UNASSESSABLE"),"",L69-H69)</x:f>
      </x:c>
      <x:c r="AC69" s="17" t="n">
        <x:f>IF(AND(A69&lt;&gt;"",M69="VERIFIED",N69="YES",H69&lt;&gt;"",H69&lt;L69,I69&lt;&gt;"UNASSESSABLE",I69&lt;&gt;"UNREVIEWED",I69&lt;&gt;"NOT_DUE"),1,0)</x:f>
        <x:v>0</x:v>
      </x:c>
      <x:c r="AD69" s="17" t="n">
        <x:f>IF(AND(AC69=1,I69="FULL"),1,0)</x:f>
        <x:v>0</x:v>
      </x:c>
      <x:c r="AE69" s="17" t="n">
        <x:f>IF(AND(AC69=1,OR(I69="FULL",J69="FULL")),1,0)</x:f>
        <x:v>0</x:v>
      </x:c>
      <x:c r="AF69" s="20"/>
    </x:row>
    <x:row r="70" ht="58" customHeight="1">
      <x:c r="A70" s="17" t="str">
        <x:v>EXE-003</x:v>
      </x:c>
      <x:c r="B70" s="17" t="str">
        <x:v>“intelligent assistants” (AI aides) by mid-1990s【45†L295-L300】</x:v>
      </x:c>
      <x:c r="C70" s="17" t="str">
        <x:v>AI &amp; software</x:v>
      </x:c>
      <x:c r="D70" s="17" t="str">
        <x:v>AI</x:v>
      </x:c>
      <x:c r="E70" s="17" t="str">
        <x:v>*The Age of Intelligent Machines* (1990)</x:v>
      </x:c>
      <x:c r="F70" s="17" t="n">
        <x:v>1990</x:v>
      </x:c>
      <x:c r="G70" s="17" t="str">
        <x:v>~1995</x:v>
      </x:c>
      <x:c r="H70" s="20"/>
      <x:c r="I70" s="17" t="str">
        <x:v>UNREVIEWED</x:v>
      </x:c>
      <x:c r="J70" s="17" t="str">
        <x:v>UNREVIEWED</x:v>
      </x:c>
      <x:c r="K70" s="20"/>
      <x:c r="L70" s="20" t="n">
        <x:v>2026</x:v>
      </x:c>
      <x:c r="M70" s="17" t="str">
        <x:v>UNREVIEWED</x:v>
      </x:c>
      <x:c r="N70" s="17" t="str">
        <x:v>NO</x:v>
      </x:c>
      <x:c r="O70" s="17"/>
      <x:c r="P70" s="17" t="str">
        <x:v>EXE-003</x:v>
      </x:c>
      <x:c r="Q70" s="17"/>
      <x:c r="R70" s="17"/>
      <x:c r="S70" s="17"/>
      <x:c r="T70" s="17"/>
      <x:c r="U70" s="17" t="str">
        <x:v>NO</x:v>
      </x:c>
      <x:c r="V70" s="17"/>
      <x:c r="W70" s="17"/>
      <x:c r="X70" s="17" t="str">
        <x:v>Imported research lead only. Verify attribution, deadline, scope and outcome; do not inherit the legacy score. Draft category needs review.</x:v>
      </x:c>
      <x:c r="Y70" s="17" t="str">
        <x:v>EXE-003</x:v>
      </x:c>
      <x:c r="Z70" s="17" t="str">
        <x:f>IF(A70="","",IF(M70="EXCLUDED","EXCLUDED",IF(M70&lt;&gt;"VERIFIED","UNREVIEWED",IF(OR(H70="",I70="UNASSESSABLE",J70="UNASSESSABLE"),"UNSCORABLE",IF(H70&gt;=L70,IF(J70="FULL","CORRECT","PENDING"),IF(I70="FULL","CORRECT",IF(J70="FULL","LATE",IF(OR(I70="PARTIAL",J70="PARTIAL"),"PARTIAL","WRONG / MISSED"))))))))</x:f>
        <x:v>UNREVIEWED</x:v>
      </x:c>
      <x:c r="AA70" s="17" t="str">
        <x:f>IF(OR(A70="",M70&lt;&gt;"VERIFIED",H70="",K70="",J70&lt;&gt;"FULL"),"",K70-H70)</x:f>
      </x:c>
      <x:c r="AB70" s="17" t="str">
        <x:f>IF(OR(A70="",M70&lt;&gt;"VERIFIED",H70="",H70&gt;=L70,J70="FULL",J70="UNASSESSABLE"),"",L70-H70)</x:f>
      </x:c>
      <x:c r="AC70" s="17" t="n">
        <x:f>IF(AND(A70&lt;&gt;"",M70="VERIFIED",N70="YES",H70&lt;&gt;"",H70&lt;L70,I70&lt;&gt;"UNASSESSABLE",I70&lt;&gt;"UNREVIEWED",I70&lt;&gt;"NOT_DUE"),1,0)</x:f>
        <x:v>0</x:v>
      </x:c>
      <x:c r="AD70" s="17" t="n">
        <x:f>IF(AND(AC70=1,I70="FULL"),1,0)</x:f>
        <x:v>0</x:v>
      </x:c>
      <x:c r="AE70" s="17" t="n">
        <x:f>IF(AND(AC70=1,OR(I70="FULL",J70="FULL")),1,0)</x:f>
        <x:v>0</x:v>
      </x:c>
      <x:c r="AF70" s="20"/>
    </x:row>
    <x:row r="71" ht="58" customHeight="1">
      <x:c r="A71" s="17" t="str">
        <x:v>EXE-004</x:v>
      </x:c>
      <x:c r="B71" s="17" t="str">
        <x:v>“translating telephone by 2010;…completely driverless car by well into first half of 21st century”【45†L295-L300】</x:v>
      </x:c>
      <x:c r="C71" s="17" t="str">
        <x:v>Robotics &amp; transportation</x:v>
      </x:c>
      <x:c r="D71" s="17" t="str">
        <x:v>AI / Transport</x:v>
      </x:c>
      <x:c r="E71" s="17" t="str">
        <x:v>*The Age of Intelligent Machines* (1990)</x:v>
      </x:c>
      <x:c r="F71" s="17" t="n">
        <x:v>1990</x:v>
      </x:c>
      <x:c r="G71" s="17" t="str">
        <x:v>2010; ~2050</x:v>
      </x:c>
      <x:c r="H71" s="20"/>
      <x:c r="I71" s="17" t="str">
        <x:v>UNREVIEWED</x:v>
      </x:c>
      <x:c r="J71" s="17" t="str">
        <x:v>UNREVIEWED</x:v>
      </x:c>
      <x:c r="K71" s="20"/>
      <x:c r="L71" s="20" t="n">
        <x:v>2026</x:v>
      </x:c>
      <x:c r="M71" s="17" t="str">
        <x:v>UNREVIEWED</x:v>
      </x:c>
      <x:c r="N71" s="17" t="str">
        <x:v>NO</x:v>
      </x:c>
      <x:c r="O71" s="17"/>
      <x:c r="P71" s="17" t="str">
        <x:v>EXE-004</x:v>
      </x:c>
      <x:c r="Q71" s="17"/>
      <x:c r="R71" s="17"/>
      <x:c r="S71" s="17"/>
      <x:c r="T71" s="17"/>
      <x:c r="U71" s="17" t="str">
        <x:v>NO</x:v>
      </x:c>
      <x:c r="V71" s="17"/>
      <x:c r="W71" s="17"/>
      <x:c r="X71" s="17" t="str">
        <x:v>Imported research lead only. Verify attribution, deadline, scope and outcome; do not inherit the legacy score. Draft category needs review.</x:v>
      </x:c>
      <x:c r="Y71" s="17" t="str">
        <x:v>EXE-004</x:v>
      </x:c>
      <x:c r="Z71" s="17" t="str">
        <x:f>IF(A71="","",IF(M71="EXCLUDED","EXCLUDED",IF(M71&lt;&gt;"VERIFIED","UNREVIEWED",IF(OR(H71="",I71="UNASSESSABLE",J71="UNASSESSABLE"),"UNSCORABLE",IF(H71&gt;=L71,IF(J71="FULL","CORRECT","PENDING"),IF(I71="FULL","CORRECT",IF(J71="FULL","LATE",IF(OR(I71="PARTIAL",J71="PARTIAL"),"PARTIAL","WRONG / MISSED"))))))))</x:f>
        <x:v>UNREVIEWED</x:v>
      </x:c>
      <x:c r="AA71" s="17" t="str">
        <x:f>IF(OR(A71="",M71&lt;&gt;"VERIFIED",H71="",K71="",J71&lt;&gt;"FULL"),"",K71-H71)</x:f>
      </x:c>
      <x:c r="AB71" s="17" t="str">
        <x:f>IF(OR(A71="",M71&lt;&gt;"VERIFIED",H71="",H71&gt;=L71,J71="FULL",J71="UNASSESSABLE"),"",L71-H71)</x:f>
      </x:c>
      <x:c r="AC71" s="17" t="n">
        <x:f>IF(AND(A71&lt;&gt;"",M71="VERIFIED",N71="YES",H71&lt;&gt;"",H71&lt;L71,I71&lt;&gt;"UNASSESSABLE",I71&lt;&gt;"UNREVIEWED",I71&lt;&gt;"NOT_DUE"),1,0)</x:f>
        <x:v>0</x:v>
      </x:c>
      <x:c r="AD71" s="17" t="n">
        <x:f>IF(AND(AC71=1,I71="FULL"),1,0)</x:f>
        <x:v>0</x:v>
      </x:c>
      <x:c r="AE71" s="17" t="n">
        <x:f>IF(AND(AC71=1,OR(I71="FULL",J71="FULL")),1,0)</x:f>
        <x:v>0</x:v>
      </x:c>
      <x:c r="AF71" s="20"/>
    </x:row>
    <x:row r="72" ht="58" customHeight="1">
      <x:c r="A72" s="17" t="str">
        <x:v>EXE-005</x:v>
      </x:c>
      <x:c r="B72" s="17" t="str">
        <x:v>“People will use electronic documents [hypertext],… instead of linear like a book”【45†L309-L313】</x:v>
      </x:c>
      <x:c r="C72" s="17" t="str">
        <x:v>Computing hardware</x:v>
      </x:c>
      <x:c r="D72" s="17" t="str">
        <x:v>Computing / Info</x:v>
      </x:c>
      <x:c r="E72" s="17" t="str">
        <x:v>*The Age of Intelligent Machines* (1990)</x:v>
      </x:c>
      <x:c r="F72" s="17" t="n">
        <x:v>1990</x:v>
      </x:c>
      <x:c r="G72" s="17" t="str">
        <x:v>2000s</x:v>
      </x:c>
      <x:c r="H72" s="20"/>
      <x:c r="I72" s="17" t="str">
        <x:v>UNREVIEWED</x:v>
      </x:c>
      <x:c r="J72" s="17" t="str">
        <x:v>UNREVIEWED</x:v>
      </x:c>
      <x:c r="K72" s="20"/>
      <x:c r="L72" s="20" t="n">
        <x:v>2026</x:v>
      </x:c>
      <x:c r="M72" s="17" t="str">
        <x:v>UNREVIEWED</x:v>
      </x:c>
      <x:c r="N72" s="17" t="str">
        <x:v>NO</x:v>
      </x:c>
      <x:c r="O72" s="17"/>
      <x:c r="P72" s="17" t="str">
        <x:v>EXE-005</x:v>
      </x:c>
      <x:c r="Q72" s="17"/>
      <x:c r="R72" s="17"/>
      <x:c r="S72" s="17"/>
      <x:c r="T72" s="17"/>
      <x:c r="U72" s="17" t="str">
        <x:v>NO</x:v>
      </x:c>
      <x:c r="V72" s="17"/>
      <x:c r="W72" s="17"/>
      <x:c r="X72" s="17" t="str">
        <x:v>Imported research lead only. Verify attribution, deadline, scope and outcome; do not inherit the legacy score. Draft category needs review.</x:v>
      </x:c>
      <x:c r="Y72" s="17" t="str">
        <x:v>EXE-005</x:v>
      </x:c>
      <x:c r="Z72" s="17" t="str">
        <x:f>IF(A72="","",IF(M72="EXCLUDED","EXCLUDED",IF(M72&lt;&gt;"VERIFIED","UNREVIEWED",IF(OR(H72="",I72="UNASSESSABLE",J72="UNASSESSABLE"),"UNSCORABLE",IF(H72&gt;=L72,IF(J72="FULL","CORRECT","PENDING"),IF(I72="FULL","CORRECT",IF(J72="FULL","LATE",IF(OR(I72="PARTIAL",J72="PARTIAL"),"PARTIAL","WRONG / MISSED"))))))))</x:f>
        <x:v>UNREVIEWED</x:v>
      </x:c>
      <x:c r="AA72" s="17" t="str">
        <x:f>IF(OR(A72="",M72&lt;&gt;"VERIFIED",H72="",K72="",J72&lt;&gt;"FULL"),"",K72-H72)</x:f>
      </x:c>
      <x:c r="AB72" s="17" t="str">
        <x:f>IF(OR(A72="",M72&lt;&gt;"VERIFIED",H72="",H72&gt;=L72,J72="FULL",J72="UNASSESSABLE"),"",L72-H72)</x:f>
      </x:c>
      <x:c r="AC72" s="17" t="n">
        <x:f>IF(AND(A72&lt;&gt;"",M72="VERIFIED",N72="YES",H72&lt;&gt;"",H72&lt;L72,I72&lt;&gt;"UNASSESSABLE",I72&lt;&gt;"UNREVIEWED",I72&lt;&gt;"NOT_DUE"),1,0)</x:f>
        <x:v>0</x:v>
      </x:c>
      <x:c r="AD72" s="17" t="n">
        <x:f>IF(AND(AC72=1,I72="FULL"),1,0)</x:f>
        <x:v>0</x:v>
      </x:c>
      <x:c r="AE72" s="17" t="n">
        <x:f>IF(AND(AC72=1,OR(I72="FULL",J72="FULL")),1,0)</x:f>
        <x:v>0</x:v>
      </x:c>
      <x:c r="AF72" s="20"/>
    </x:row>
    <x:row r="73" ht="58" customHeight="1">
      <x:c r="A73" s="17" t="str">
        <x:v>EXE-006</x:v>
      </x:c>
      <x:c r="B73" s="17" t="str">
        <x:v>“laser and particle beam weapons, and planes without human pilots” in future warfare【45†L319-L323】</x:v>
      </x:c>
      <x:c r="C73" s="17" t="str">
        <x:v>Security &amp; warfare</x:v>
      </x:c>
      <x:c r="D73" s="17" t="str">
        <x:v>Military / Robotics</x:v>
      </x:c>
      <x:c r="E73" s="17" t="str">
        <x:v>*The Age of Intelligent Machines* (1990)</x:v>
      </x:c>
      <x:c r="F73" s="17" t="n">
        <x:v>1990</x:v>
      </x:c>
      <x:c r="G73" s="17" t="str">
        <x:v>2000–2010</x:v>
      </x:c>
      <x:c r="H73" s="20"/>
      <x:c r="I73" s="17" t="str">
        <x:v>UNREVIEWED</x:v>
      </x:c>
      <x:c r="J73" s="17" t="str">
        <x:v>UNREVIEWED</x:v>
      </x:c>
      <x:c r="K73" s="20"/>
      <x:c r="L73" s="20" t="n">
        <x:v>2026</x:v>
      </x:c>
      <x:c r="M73" s="17" t="str">
        <x:v>UNREVIEWED</x:v>
      </x:c>
      <x:c r="N73" s="17" t="str">
        <x:v>NO</x:v>
      </x:c>
      <x:c r="O73" s="17"/>
      <x:c r="P73" s="17" t="str">
        <x:v>EXE-006</x:v>
      </x:c>
      <x:c r="Q73" s="17"/>
      <x:c r="R73" s="17"/>
      <x:c r="S73" s="17"/>
      <x:c r="T73" s="17"/>
      <x:c r="U73" s="17" t="str">
        <x:v>NO</x:v>
      </x:c>
      <x:c r="V73" s="17"/>
      <x:c r="W73" s="17"/>
      <x:c r="X73" s="17" t="str">
        <x:v>Imported research lead only. Verify attribution, deadline, scope and outcome; do not inherit the legacy score. Draft category needs review.</x:v>
      </x:c>
      <x:c r="Y73" s="17" t="str">
        <x:v>EXE-006</x:v>
      </x:c>
      <x:c r="Z73" s="17" t="str">
        <x:f>IF(A73="","",IF(M73="EXCLUDED","EXCLUDED",IF(M73&lt;&gt;"VERIFIED","UNREVIEWED",IF(OR(H73="",I73="UNASSESSABLE",J73="UNASSESSABLE"),"UNSCORABLE",IF(H73&gt;=L73,IF(J73="FULL","CORRECT","PENDING"),IF(I73="FULL","CORRECT",IF(J73="FULL","LATE",IF(OR(I73="PARTIAL",J73="PARTIAL"),"PARTIAL","WRONG / MISSED"))))))))</x:f>
        <x:v>UNREVIEWED</x:v>
      </x:c>
      <x:c r="AA73" s="17" t="str">
        <x:f>IF(OR(A73="",M73&lt;&gt;"VERIFIED",H73="",K73="",J73&lt;&gt;"FULL"),"",K73-H73)</x:f>
      </x:c>
      <x:c r="AB73" s="17" t="str">
        <x:f>IF(OR(A73="",M73&lt;&gt;"VERIFIED",H73="",H73&gt;=L73,J73="FULL",J73="UNASSESSABLE"),"",L73-H73)</x:f>
      </x:c>
      <x:c r="AC73" s="17" t="n">
        <x:f>IF(AND(A73&lt;&gt;"",M73="VERIFIED",N73="YES",H73&lt;&gt;"",H73&lt;L73,I73&lt;&gt;"UNASSESSABLE",I73&lt;&gt;"UNREVIEWED",I73&lt;&gt;"NOT_DUE"),1,0)</x:f>
        <x:v>0</x:v>
      </x:c>
      <x:c r="AD73" s="17" t="n">
        <x:f>IF(AND(AC73=1,I73="FULL"),1,0)</x:f>
        <x:v>0</x:v>
      </x:c>
      <x:c r="AE73" s="17" t="n">
        <x:f>IF(AND(AC73=1,OR(I73="FULL",J73="FULL")),1,0)</x:f>
        <x:v>0</x:v>
      </x:c>
      <x:c r="AF73" s="20"/>
    </x:row>
    <x:row r="74" ht="58" customHeight="1">
      <x:c r="A74" s="17" t="str">
        <x:v>EXE-008</x:v>
      </x:c>
      <x:c r="B74" s="17" t="str">
        <x:v>“2009 computer will be a tablet or smaller device with high quality… display”【63†L382-L389】</x:v>
      </x:c>
      <x:c r="C74" s="17" t="str">
        <x:v>Interfaces &amp; virtual worlds</x:v>
      </x:c>
      <x:c r="D74" s="17" t="str">
        <x:v>Computing / Devices</x:v>
      </x:c>
      <x:c r="E74" s="17" t="str">
        <x:v>*The Age of Spiritual Machines* (1999)</x:v>
      </x:c>
      <x:c r="F74" s="17" t="n">
        <x:v>1999</x:v>
      </x:c>
      <x:c r="G74" s="17" t="str">
        <x:v>2009</x:v>
      </x:c>
      <x:c r="H74" s="20"/>
      <x:c r="I74" s="17" t="str">
        <x:v>UNREVIEWED</x:v>
      </x:c>
      <x:c r="J74" s="17" t="str">
        <x:v>UNREVIEWED</x:v>
      </x:c>
      <x:c r="K74" s="20"/>
      <x:c r="L74" s="20" t="n">
        <x:v>2026</x:v>
      </x:c>
      <x:c r="M74" s="17" t="str">
        <x:v>UNREVIEWED</x:v>
      </x:c>
      <x:c r="N74" s="17" t="str">
        <x:v>NO</x:v>
      </x:c>
      <x:c r="O74" s="17"/>
      <x:c r="P74" s="17" t="str">
        <x:v>EXE-008</x:v>
      </x:c>
      <x:c r="Q74" s="17"/>
      <x:c r="R74" s="17"/>
      <x:c r="S74" s="17"/>
      <x:c r="T74" s="17"/>
      <x:c r="U74" s="17" t="str">
        <x:v>NO</x:v>
      </x:c>
      <x:c r="V74" s="17"/>
      <x:c r="W74" s="17"/>
      <x:c r="X74" s="17" t="str">
        <x:v>Imported research lead only. Verify attribution, deadline, scope and outcome; do not inherit the legacy score. Draft category needs review.</x:v>
      </x:c>
      <x:c r="Y74" s="17" t="str">
        <x:v>EXE-008</x:v>
      </x:c>
      <x:c r="Z74" s="17" t="str">
        <x:f>IF(A74="","",IF(M74="EXCLUDED","EXCLUDED",IF(M74&lt;&gt;"VERIFIED","UNREVIEWED",IF(OR(H74="",I74="UNASSESSABLE",J74="UNASSESSABLE"),"UNSCORABLE",IF(H74&gt;=L74,IF(J74="FULL","CORRECT","PENDING"),IF(I74="FULL","CORRECT",IF(J74="FULL","LATE",IF(OR(I74="PARTIAL",J74="PARTIAL"),"PARTIAL","WRONG / MISSED"))))))))</x:f>
        <x:v>UNREVIEWED</x:v>
      </x:c>
      <x:c r="AA74" s="17" t="str">
        <x:f>IF(OR(A74="",M74&lt;&gt;"VERIFIED",H74="",K74="",J74&lt;&gt;"FULL"),"",K74-H74)</x:f>
      </x:c>
      <x:c r="AB74" s="17" t="str">
        <x:f>IF(OR(A74="",M74&lt;&gt;"VERIFIED",H74="",H74&gt;=L74,J74="FULL",J74="UNASSESSABLE"),"",L74-H74)</x:f>
      </x:c>
      <x:c r="AC74" s="17" t="n">
        <x:f>IF(AND(A74&lt;&gt;"",M74="VERIFIED",N74="YES",H74&lt;&gt;"",H74&lt;L74,I74&lt;&gt;"UNASSESSABLE",I74&lt;&gt;"UNREVIEWED",I74&lt;&gt;"NOT_DUE"),1,0)</x:f>
        <x:v>0</x:v>
      </x:c>
      <x:c r="AD74" s="17" t="n">
        <x:f>IF(AND(AC74=1,I74="FULL"),1,0)</x:f>
        <x:v>0</x:v>
      </x:c>
      <x:c r="AE74" s="17" t="n">
        <x:f>IF(AND(AC74=1,OR(I74="FULL",J74="FULL")),1,0)</x:f>
        <x:v>0</x:v>
      </x:c>
      <x:c r="AF74" s="20"/>
    </x:row>
    <x:row r="75" ht="58" customHeight="1">
      <x:c r="A75" s="17" t="str">
        <x:v>EXE-009</x:v>
      </x:c>
      <x:c r="B75" s="17" t="str">
        <x:v>“2019 computers are largely invisible – images projected directly into the retina”【63†L382-L389】</x:v>
      </x:c>
      <x:c r="C75" s="17" t="str">
        <x:v>Interfaces &amp; virtual worlds</x:v>
      </x:c>
      <x:c r="D75" s="17" t="str">
        <x:v>VR/AR</x:v>
      </x:c>
      <x:c r="E75" s="17" t="str">
        <x:v>*The Age of Spiritual Machines* (1999)</x:v>
      </x:c>
      <x:c r="F75" s="17" t="n">
        <x:v>1999</x:v>
      </x:c>
      <x:c r="G75" s="17" t="str">
        <x:v>2019</x:v>
      </x:c>
      <x:c r="H75" s="20"/>
      <x:c r="I75" s="17" t="str">
        <x:v>UNREVIEWED</x:v>
      </x:c>
      <x:c r="J75" s="17" t="str">
        <x:v>UNREVIEWED</x:v>
      </x:c>
      <x:c r="K75" s="20"/>
      <x:c r="L75" s="20" t="n">
        <x:v>2026</x:v>
      </x:c>
      <x:c r="M75" s="17" t="str">
        <x:v>UNREVIEWED</x:v>
      </x:c>
      <x:c r="N75" s="17" t="str">
        <x:v>NO</x:v>
      </x:c>
      <x:c r="O75" s="17"/>
      <x:c r="P75" s="17" t="str">
        <x:v>EXE-009</x:v>
      </x:c>
      <x:c r="Q75" s="17"/>
      <x:c r="R75" s="17"/>
      <x:c r="S75" s="17"/>
      <x:c r="T75" s="17"/>
      <x:c r="U75" s="17" t="str">
        <x:v>NO</x:v>
      </x:c>
      <x:c r="V75" s="17"/>
      <x:c r="W75" s="17"/>
      <x:c r="X75" s="17" t="str">
        <x:v>Imported research lead only. Verify attribution, deadline, scope and outcome; do not inherit the legacy score. Draft category needs review.</x:v>
      </x:c>
      <x:c r="Y75" s="17" t="str">
        <x:v>EXE-009</x:v>
      </x:c>
      <x:c r="Z75" s="17" t="str">
        <x:f>IF(A75="","",IF(M75="EXCLUDED","EXCLUDED",IF(M75&lt;&gt;"VERIFIED","UNREVIEWED",IF(OR(H75="",I75="UNASSESSABLE",J75="UNASSESSABLE"),"UNSCORABLE",IF(H75&gt;=L75,IF(J75="FULL","CORRECT","PENDING"),IF(I75="FULL","CORRECT",IF(J75="FULL","LATE",IF(OR(I75="PARTIAL",J75="PARTIAL"),"PARTIAL","WRONG / MISSED"))))))))</x:f>
        <x:v>UNREVIEWED</x:v>
      </x:c>
      <x:c r="AA75" s="17" t="str">
        <x:f>IF(OR(A75="",M75&lt;&gt;"VERIFIED",H75="",K75="",J75&lt;&gt;"FULL"),"",K75-H75)</x:f>
      </x:c>
      <x:c r="AB75" s="17" t="str">
        <x:f>IF(OR(A75="",M75&lt;&gt;"VERIFIED",H75="",H75&gt;=L75,J75="FULL",J75="UNASSESSABLE"),"",L75-H75)</x:f>
      </x:c>
      <x:c r="AC75" s="17" t="n">
        <x:f>IF(AND(A75&lt;&gt;"",M75="VERIFIED",N75="YES",H75&lt;&gt;"",H75&lt;L75,I75&lt;&gt;"UNASSESSABLE",I75&lt;&gt;"UNREVIEWED",I75&lt;&gt;"NOT_DUE"),1,0)</x:f>
        <x:v>0</x:v>
      </x:c>
      <x:c r="AD75" s="17" t="n">
        <x:f>IF(AND(AC75=1,I75="FULL"),1,0)</x:f>
        <x:v>0</x:v>
      </x:c>
      <x:c r="AE75" s="17" t="n">
        <x:f>IF(AND(AC75=1,OR(I75="FULL",J75="FULL")),1,0)</x:f>
        <x:v>0</x:v>
      </x:c>
      <x:c r="AF75" s="20"/>
    </x:row>
    <x:row r="76" ht="58" customHeight="1">
      <x:c r="A76" s="17" t="str">
        <x:v>EXE-010</x:v>
      </x:c>
      <x:c r="B76" s="17" t="str">
        <x:v>“2029 computers will communicate through direct neural pathways”【63†L382-L389】</x:v>
      </x:c>
      <x:c r="C76" s="17" t="str">
        <x:v>Neuroscience &amp; human augmentation</x:v>
      </x:c>
      <x:c r="D76" s="17" t="str">
        <x:v>Neuroscience / AI</x:v>
      </x:c>
      <x:c r="E76" s="17" t="str">
        <x:v>*The Age of Spiritual Machines* (1999)</x:v>
      </x:c>
      <x:c r="F76" s="17" t="n">
        <x:v>1999</x:v>
      </x:c>
      <x:c r="G76" s="17" t="str">
        <x:v>2029</x:v>
      </x:c>
      <x:c r="H76" s="20"/>
      <x:c r="I76" s="17" t="str">
        <x:v>UNREVIEWED</x:v>
      </x:c>
      <x:c r="J76" s="17" t="str">
        <x:v>UNREVIEWED</x:v>
      </x:c>
      <x:c r="K76" s="20"/>
      <x:c r="L76" s="20" t="n">
        <x:v>2026</x:v>
      </x:c>
      <x:c r="M76" s="17" t="str">
        <x:v>UNREVIEWED</x:v>
      </x:c>
      <x:c r="N76" s="17" t="str">
        <x:v>NO</x:v>
      </x:c>
      <x:c r="O76" s="17"/>
      <x:c r="P76" s="17" t="str">
        <x:v>EXE-010</x:v>
      </x:c>
      <x:c r="Q76" s="17"/>
      <x:c r="R76" s="17"/>
      <x:c r="S76" s="17"/>
      <x:c r="T76" s="17"/>
      <x:c r="U76" s="17" t="str">
        <x:v>NO</x:v>
      </x:c>
      <x:c r="V76" s="17"/>
      <x:c r="W76" s="17"/>
      <x:c r="X76" s="17" t="str">
        <x:v>Imported research lead only. Verify attribution, deadline, scope and outcome; do not inherit the legacy score. Draft category needs review.</x:v>
      </x:c>
      <x:c r="Y76" s="17" t="str">
        <x:v>EXE-010</x:v>
      </x:c>
      <x:c r="Z76" s="17" t="str">
        <x:f>IF(A76="","",IF(M76="EXCLUDED","EXCLUDED",IF(M76&lt;&gt;"VERIFIED","UNREVIEWED",IF(OR(H76="",I76="UNASSESSABLE",J76="UNASSESSABLE"),"UNSCORABLE",IF(H76&gt;=L76,IF(J76="FULL","CORRECT","PENDING"),IF(I76="FULL","CORRECT",IF(J76="FULL","LATE",IF(OR(I76="PARTIAL",J76="PARTIAL"),"PARTIAL","WRONG / MISSED"))))))))</x:f>
        <x:v>UNREVIEWED</x:v>
      </x:c>
      <x:c r="AA76" s="17" t="str">
        <x:f>IF(OR(A76="",M76&lt;&gt;"VERIFIED",H76="",K76="",J76&lt;&gt;"FULL"),"",K76-H76)</x:f>
      </x:c>
      <x:c r="AB76" s="17" t="str">
        <x:f>IF(OR(A76="",M76&lt;&gt;"VERIFIED",H76="",H76&gt;=L76,J76="FULL",J76="UNASSESSABLE"),"",L76-H76)</x:f>
      </x:c>
      <x:c r="AC76" s="17" t="n">
        <x:f>IF(AND(A76&lt;&gt;"",M76="VERIFIED",N76="YES",H76&lt;&gt;"",H76&lt;L76,I76&lt;&gt;"UNASSESSABLE",I76&lt;&gt;"UNREVIEWED",I76&lt;&gt;"NOT_DUE"),1,0)</x:f>
        <x:v>0</x:v>
      </x:c>
      <x:c r="AD76" s="17" t="n">
        <x:f>IF(AND(AC76=1,I76="FULL"),1,0)</x:f>
        <x:v>0</x:v>
      </x:c>
      <x:c r="AE76" s="17" t="n">
        <x:f>IF(AND(AC76=1,OR(I76="FULL",J76="FULL")),1,0)</x:f>
        <x:v>0</x:v>
      </x:c>
      <x:c r="AF76" s="20"/>
    </x:row>
    <x:row r="77" ht="58" customHeight="1">
      <x:c r="A77" s="17" t="str">
        <x:v>EXE-011</x:v>
      </x:c>
      <x:c r="B77" s="17" t="str">
        <x:v>“Interest and speculation about the Turing test in 2009; by 2029 machines ‘routinely’ pass the test”【63†L386-L390】</x:v>
      </x:c>
      <x:c r="C77" s="17" t="str">
        <x:v>AI &amp; software</x:v>
      </x:c>
      <x:c r="D77" s="17" t="str">
        <x:v>AI / Turing</x:v>
      </x:c>
      <x:c r="E77" s="17" t="str">
        <x:v>*The Age of Spiritual Machines* (1999)</x:v>
      </x:c>
      <x:c r="F77" s="17" t="n">
        <x:v>1999</x:v>
      </x:c>
      <x:c r="G77" s="17" t="str">
        <x:v>2009, 2019, 2029</x:v>
      </x:c>
      <x:c r="H77" s="20"/>
      <x:c r="I77" s="17" t="str">
        <x:v>UNREVIEWED</x:v>
      </x:c>
      <x:c r="J77" s="17" t="str">
        <x:v>UNREVIEWED</x:v>
      </x:c>
      <x:c r="K77" s="20"/>
      <x:c r="L77" s="20" t="n">
        <x:v>2026</x:v>
      </x:c>
      <x:c r="M77" s="17" t="str">
        <x:v>UNREVIEWED</x:v>
      </x:c>
      <x:c r="N77" s="17" t="str">
        <x:v>NO</x:v>
      </x:c>
      <x:c r="O77" s="17"/>
      <x:c r="P77" s="17" t="str">
        <x:v>EXE-011</x:v>
      </x:c>
      <x:c r="Q77" s="17"/>
      <x:c r="R77" s="17"/>
      <x:c r="S77" s="17"/>
      <x:c r="T77" s="17"/>
      <x:c r="U77" s="17" t="str">
        <x:v>NO</x:v>
      </x:c>
      <x:c r="V77" s="17"/>
      <x:c r="W77" s="17"/>
      <x:c r="X77" s="17" t="str">
        <x:v>Imported research lead only. Verify attribution, deadline, scope and outcome; do not inherit the legacy score. Draft category needs review.</x:v>
      </x:c>
      <x:c r="Y77" s="17" t="str">
        <x:v>EXE-011</x:v>
      </x:c>
      <x:c r="Z77" s="17" t="str">
        <x:f>IF(A77="","",IF(M77="EXCLUDED","EXCLUDED",IF(M77&lt;&gt;"VERIFIED","UNREVIEWED",IF(OR(H77="",I77="UNASSESSABLE",J77="UNASSESSABLE"),"UNSCORABLE",IF(H77&gt;=L77,IF(J77="FULL","CORRECT","PENDING"),IF(I77="FULL","CORRECT",IF(J77="FULL","LATE",IF(OR(I77="PARTIAL",J77="PARTIAL"),"PARTIAL","WRONG / MISSED"))))))))</x:f>
        <x:v>UNREVIEWED</x:v>
      </x:c>
      <x:c r="AA77" s="17" t="str">
        <x:f>IF(OR(A77="",M77&lt;&gt;"VERIFIED",H77="",K77="",J77&lt;&gt;"FULL"),"",K77-H77)</x:f>
      </x:c>
      <x:c r="AB77" s="17" t="str">
        <x:f>IF(OR(A77="",M77&lt;&gt;"VERIFIED",H77="",H77&gt;=L77,J77="FULL",J77="UNASSESSABLE"),"",L77-H77)</x:f>
      </x:c>
      <x:c r="AC77" s="17" t="n">
        <x:f>IF(AND(A77&lt;&gt;"",M77="VERIFIED",N77="YES",H77&lt;&gt;"",H77&lt;L77,I77&lt;&gt;"UNASSESSABLE",I77&lt;&gt;"UNREVIEWED",I77&lt;&gt;"NOT_DUE"),1,0)</x:f>
        <x:v>0</x:v>
      </x:c>
      <x:c r="AD77" s="17" t="n">
        <x:f>IF(AND(AC77=1,I77="FULL"),1,0)</x:f>
        <x:v>0</x:v>
      </x:c>
      <x:c r="AE77" s="17" t="n">
        <x:f>IF(AND(AC77=1,OR(I77="FULL",J77="FULL")),1,0)</x:f>
        <x:v>0</x:v>
      </x:c>
      <x:c r="AF77" s="20"/>
    </x:row>
    <x:row r="78" ht="58" customHeight="1">
      <x:c r="A78" s="17" t="str">
        <x:v>EXE-012</x:v>
      </x:c>
      <x:c r="B78" s="17" t="str">
        <x:v>“In 2009 it will take a supercomputer to match one human brain; in 2019 \$4,000 does the same; in 2029 \$1,000 buys 1000 brains”【63†L392-L399】</x:v>
      </x:c>
      <x:c r="C78" s="17" t="str">
        <x:v>AI &amp; software</x:v>
      </x:c>
      <x:c r="D78" s="17" t="str">
        <x:v>AI / Computing</x:v>
      </x:c>
      <x:c r="E78" s="17" t="str">
        <x:v>*The Age of Spiritual Machines* (1999)</x:v>
      </x:c>
      <x:c r="F78" s="17" t="n">
        <x:v>1999</x:v>
      </x:c>
      <x:c r="G78" s="17" t="str">
        <x:v>2009–2029</x:v>
      </x:c>
      <x:c r="H78" s="20"/>
      <x:c r="I78" s="17" t="str">
        <x:v>UNREVIEWED</x:v>
      </x:c>
      <x:c r="J78" s="17" t="str">
        <x:v>UNREVIEWED</x:v>
      </x:c>
      <x:c r="K78" s="20"/>
      <x:c r="L78" s="20" t="n">
        <x:v>2026</x:v>
      </x:c>
      <x:c r="M78" s="17" t="str">
        <x:v>UNREVIEWED</x:v>
      </x:c>
      <x:c r="N78" s="17" t="str">
        <x:v>NO</x:v>
      </x:c>
      <x:c r="O78" s="17"/>
      <x:c r="P78" s="17" t="str">
        <x:v>EXE-012</x:v>
      </x:c>
      <x:c r="Q78" s="17"/>
      <x:c r="R78" s="17"/>
      <x:c r="S78" s="17"/>
      <x:c r="T78" s="17"/>
      <x:c r="U78" s="17" t="str">
        <x:v>NO</x:v>
      </x:c>
      <x:c r="V78" s="17"/>
      <x:c r="W78" s="17"/>
      <x:c r="X78" s="17" t="str">
        <x:v>Imported research lead only. Verify attribution, deadline, scope and outcome; do not inherit the legacy score. Draft category needs review.</x:v>
      </x:c>
      <x:c r="Y78" s="17" t="str">
        <x:v>EXE-012</x:v>
      </x:c>
      <x:c r="Z78" s="17" t="str">
        <x:f>IF(A78="","",IF(M78="EXCLUDED","EXCLUDED",IF(M78&lt;&gt;"VERIFIED","UNREVIEWED",IF(OR(H78="",I78="UNASSESSABLE",J78="UNASSESSABLE"),"UNSCORABLE",IF(H78&gt;=L78,IF(J78="FULL","CORRECT","PENDING"),IF(I78="FULL","CORRECT",IF(J78="FULL","LATE",IF(OR(I78="PARTIAL",J78="PARTIAL"),"PARTIAL","WRONG / MISSED"))))))))</x:f>
        <x:v>UNREVIEWED</x:v>
      </x:c>
      <x:c r="AA78" s="17" t="str">
        <x:f>IF(OR(A78="",M78&lt;&gt;"VERIFIED",H78="",K78="",J78&lt;&gt;"FULL"),"",K78-H78)</x:f>
      </x:c>
      <x:c r="AB78" s="17" t="str">
        <x:f>IF(OR(A78="",M78&lt;&gt;"VERIFIED",H78="",H78&gt;=L78,J78="FULL",J78="UNASSESSABLE"),"",L78-H78)</x:f>
      </x:c>
      <x:c r="AC78" s="17" t="n">
        <x:f>IF(AND(A78&lt;&gt;"",M78="VERIFIED",N78="YES",H78&lt;&gt;"",H78&lt;L78,I78&lt;&gt;"UNASSESSABLE",I78&lt;&gt;"UNREVIEWED",I78&lt;&gt;"NOT_DUE"),1,0)</x:f>
        <x:v>0</x:v>
      </x:c>
      <x:c r="AD78" s="17" t="n">
        <x:f>IF(AND(AC78=1,I78="FULL"),1,0)</x:f>
        <x:v>0</x:v>
      </x:c>
      <x:c r="AE78" s="17" t="n">
        <x:f>IF(AND(AC78=1,OR(I78="FULL",J78="FULL")),1,0)</x:f>
        <x:v>0</x:v>
      </x:c>
      <x:c r="AF78" s="20"/>
    </x:row>
    <x:row r="79" ht="58" customHeight="1">
      <x:c r="A79" s="17" t="str">
        <x:v>EXE-013</x:v>
      </x:c>
      <x:c r="B79" s="17" t="str">
        <x:v>“Life expectancy &gt;100 by 2019; 120 by 2029; indefinite by 2099”【63†L392-L399】</x:v>
      </x:c>
      <x:c r="C79" s="17" t="str">
        <x:v>Longevity</x:v>
      </x:c>
      <x:c r="D79" s="17" t="str">
        <x:v>Biotech / Longevity</x:v>
      </x:c>
      <x:c r="E79" s="17" t="str">
        <x:v>*The Age of Spiritual Machines* (1999)</x:v>
      </x:c>
      <x:c r="F79" s="17" t="n">
        <x:v>1999</x:v>
      </x:c>
      <x:c r="G79" s="17" t="str">
        <x:v>2019, 2029, 2099</x:v>
      </x:c>
      <x:c r="H79" s="20"/>
      <x:c r="I79" s="17" t="str">
        <x:v>UNREVIEWED</x:v>
      </x:c>
      <x:c r="J79" s="17" t="str">
        <x:v>UNREVIEWED</x:v>
      </x:c>
      <x:c r="K79" s="20"/>
      <x:c r="L79" s="20" t="n">
        <x:v>2026</x:v>
      </x:c>
      <x:c r="M79" s="17" t="str">
        <x:v>UNREVIEWED</x:v>
      </x:c>
      <x:c r="N79" s="17" t="str">
        <x:v>NO</x:v>
      </x:c>
      <x:c r="O79" s="17"/>
      <x:c r="P79" s="17" t="str">
        <x:v>EXE-013</x:v>
      </x:c>
      <x:c r="Q79" s="17"/>
      <x:c r="R79" s="17"/>
      <x:c r="S79" s="17"/>
      <x:c r="T79" s="17"/>
      <x:c r="U79" s="17" t="str">
        <x:v>NO</x:v>
      </x:c>
      <x:c r="V79" s="17"/>
      <x:c r="W79" s="17"/>
      <x:c r="X79" s="17" t="str">
        <x:v>Imported research lead only. Verify attribution, deadline, scope and outcome; do not inherit the legacy score. Draft category needs review.</x:v>
      </x:c>
      <x:c r="Y79" s="17" t="str">
        <x:v>EXE-013</x:v>
      </x:c>
      <x:c r="Z79" s="17" t="str">
        <x:f>IF(A79="","",IF(M79="EXCLUDED","EXCLUDED",IF(M79&lt;&gt;"VERIFIED","UNREVIEWED",IF(OR(H79="",I79="UNASSESSABLE",J79="UNASSESSABLE"),"UNSCORABLE",IF(H79&gt;=L79,IF(J79="FULL","CORRECT","PENDING"),IF(I79="FULL","CORRECT",IF(J79="FULL","LATE",IF(OR(I79="PARTIAL",J79="PARTIAL"),"PARTIAL","WRONG / MISSED"))))))))</x:f>
        <x:v>UNREVIEWED</x:v>
      </x:c>
      <x:c r="AA79" s="17" t="str">
        <x:f>IF(OR(A79="",M79&lt;&gt;"VERIFIED",H79="",K79="",J79&lt;&gt;"FULL"),"",K79-H79)</x:f>
      </x:c>
      <x:c r="AB79" s="17" t="str">
        <x:f>IF(OR(A79="",M79&lt;&gt;"VERIFIED",H79="",H79&gt;=L79,J79="FULL",J79="UNASSESSABLE"),"",L79-H79)</x:f>
      </x:c>
      <x:c r="AC79" s="17" t="n">
        <x:f>IF(AND(A79&lt;&gt;"",M79="VERIFIED",N79="YES",H79&lt;&gt;"",H79&lt;L79,I79&lt;&gt;"UNASSESSABLE",I79&lt;&gt;"UNREVIEWED",I79&lt;&gt;"NOT_DUE"),1,0)</x:f>
        <x:v>0</x:v>
      </x:c>
      <x:c r="AD79" s="17" t="n">
        <x:f>IF(AND(AC79=1,I79="FULL"),1,0)</x:f>
        <x:v>0</x:v>
      </x:c>
      <x:c r="AE79" s="17" t="n">
        <x:f>IF(AND(AC79=1,OR(I79="FULL",J79="FULL")),1,0)</x:f>
        <x:v>0</x:v>
      </x:c>
      <x:c r="AF79" s="20"/>
    </x:row>
    <x:row r="80" ht="58" customHeight="1">
      <x:c r="A80" s="17" t="str">
        <x:v>EXE-014</x:v>
      </x:c>
      <x:c r="B80" s="17" t="str">
        <x:v>“Within 10 years (by 2009) we will have option to spend time in 3D virtual environments that appear just as real…”【79†L688-L695】</x:v>
      </x:c>
      <x:c r="C80" s="17" t="str">
        <x:v>Interfaces &amp; virtual worlds</x:v>
      </x:c>
      <x:c r="D80" s="17" t="str">
        <x:v>VR</x:v>
      </x:c>
      <x:c r="E80" s="17" t="str">
        <x:v>*Ray Kurzweil interview (1999)* – AoSM excerpt</x:v>
      </x:c>
      <x:c r="F80" s="17" t="n">
        <x:v>1999</x:v>
      </x:c>
      <x:c r="G80" s="17" t="str">
        <x:v>2009</x:v>
      </x:c>
      <x:c r="H80" s="20"/>
      <x:c r="I80" s="17" t="str">
        <x:v>UNREVIEWED</x:v>
      </x:c>
      <x:c r="J80" s="17" t="str">
        <x:v>UNREVIEWED</x:v>
      </x:c>
      <x:c r="K80" s="20"/>
      <x:c r="L80" s="20" t="n">
        <x:v>2026</x:v>
      </x:c>
      <x:c r="M80" s="17" t="str">
        <x:v>UNREVIEWED</x:v>
      </x:c>
      <x:c r="N80" s="17" t="str">
        <x:v>NO</x:v>
      </x:c>
      <x:c r="O80" s="17"/>
      <x:c r="P80" s="17" t="str">
        <x:v>EXE-014</x:v>
      </x:c>
      <x:c r="Q80" s="17"/>
      <x:c r="R80" s="17"/>
      <x:c r="S80" s="17"/>
      <x:c r="T80" s="17"/>
      <x:c r="U80" s="17" t="str">
        <x:v>NO</x:v>
      </x:c>
      <x:c r="V80" s="17"/>
      <x:c r="W80" s="17"/>
      <x:c r="X80" s="17" t="str">
        <x:v>Imported research lead only. Verify attribution, deadline, scope and outcome; do not inherit the legacy score. Draft category needs review.</x:v>
      </x:c>
      <x:c r="Y80" s="17" t="str">
        <x:v>EXE-014</x:v>
      </x:c>
      <x:c r="Z80" s="17" t="str">
        <x:f>IF(A80="","",IF(M80="EXCLUDED","EXCLUDED",IF(M80&lt;&gt;"VERIFIED","UNREVIEWED",IF(OR(H80="",I80="UNASSESSABLE",J80="UNASSESSABLE"),"UNSCORABLE",IF(H80&gt;=L80,IF(J80="FULL","CORRECT","PENDING"),IF(I80="FULL","CORRECT",IF(J80="FULL","LATE",IF(OR(I80="PARTIAL",J80="PARTIAL"),"PARTIAL","WRONG / MISSED"))))))))</x:f>
        <x:v>UNREVIEWED</x:v>
      </x:c>
      <x:c r="AA80" s="17" t="str">
        <x:f>IF(OR(A80="",M80&lt;&gt;"VERIFIED",H80="",K80="",J80&lt;&gt;"FULL"),"",K80-H80)</x:f>
      </x:c>
      <x:c r="AB80" s="17" t="str">
        <x:f>IF(OR(A80="",M80&lt;&gt;"VERIFIED",H80="",H80&gt;=L80,J80="FULL",J80="UNASSESSABLE"),"",L80-H80)</x:f>
      </x:c>
      <x:c r="AC80" s="17" t="n">
        <x:f>IF(AND(A80&lt;&gt;"",M80="VERIFIED",N80="YES",H80&lt;&gt;"",H80&lt;L80,I80&lt;&gt;"UNASSESSABLE",I80&lt;&gt;"UNREVIEWED",I80&lt;&gt;"NOT_DUE"),1,0)</x:f>
        <x:v>0</x:v>
      </x:c>
      <x:c r="AD80" s="17" t="n">
        <x:f>IF(AND(AC80=1,I80="FULL"),1,0)</x:f>
        <x:v>0</x:v>
      </x:c>
      <x:c r="AE80" s="17" t="n">
        <x:f>IF(AND(AC80=1,OR(I80="FULL",J80="FULL")),1,0)</x:f>
        <x:v>0</x:v>
      </x:c>
      <x:c r="AF80" s="20"/>
    </x:row>
    <x:row r="81" ht="58" customHeight="1">
      <x:c r="A81" s="17" t="str">
        <x:v>EXE-015</x:v>
      </x:c>
      <x:c r="B81" s="17" t="str">
        <x:v>“Within 20 years (by 2019) millions of nanobots (blood-cell sized) will fight disease inside our bodies”【79†L688-L695】</x:v>
      </x:c>
      <x:c r="C81" s="17" t="str">
        <x:v>Biology &amp; medicine</x:v>
      </x:c>
      <x:c r="D81" s="17" t="str">
        <x:v>Nanotech / Biotech</x:v>
      </x:c>
      <x:c r="E81" s="17" t="str">
        <x:v>*Ray Kurzweil interview (1999)* – AoSM excerpt</x:v>
      </x:c>
      <x:c r="F81" s="17" t="n">
        <x:v>1999</x:v>
      </x:c>
      <x:c r="G81" s="17" t="str">
        <x:v>2019</x:v>
      </x:c>
      <x:c r="H81" s="20"/>
      <x:c r="I81" s="17" t="str">
        <x:v>UNREVIEWED</x:v>
      </x:c>
      <x:c r="J81" s="17" t="str">
        <x:v>UNREVIEWED</x:v>
      </x:c>
      <x:c r="K81" s="20"/>
      <x:c r="L81" s="20" t="n">
        <x:v>2026</x:v>
      </x:c>
      <x:c r="M81" s="17" t="str">
        <x:v>UNREVIEWED</x:v>
      </x:c>
      <x:c r="N81" s="17" t="str">
        <x:v>NO</x:v>
      </x:c>
      <x:c r="O81" s="17"/>
      <x:c r="P81" s="17" t="str">
        <x:v>EXE-015</x:v>
      </x:c>
      <x:c r="Q81" s="17"/>
      <x:c r="R81" s="17"/>
      <x:c r="S81" s="17"/>
      <x:c r="T81" s="17"/>
      <x:c r="U81" s="17" t="str">
        <x:v>NO</x:v>
      </x:c>
      <x:c r="V81" s="17"/>
      <x:c r="W81" s="17"/>
      <x:c r="X81" s="17" t="str">
        <x:v>Imported research lead only. Verify attribution, deadline, scope and outcome; do not inherit the legacy score. Draft category needs review.</x:v>
      </x:c>
      <x:c r="Y81" s="17" t="str">
        <x:v>EXE-015</x:v>
      </x:c>
      <x:c r="Z81" s="17" t="str">
        <x:f>IF(A81="","",IF(M81="EXCLUDED","EXCLUDED",IF(M81&lt;&gt;"VERIFIED","UNREVIEWED",IF(OR(H81="",I81="UNASSESSABLE",J81="UNASSESSABLE"),"UNSCORABLE",IF(H81&gt;=L81,IF(J81="FULL","CORRECT","PENDING"),IF(I81="FULL","CORRECT",IF(J81="FULL","LATE",IF(OR(I81="PARTIAL",J81="PARTIAL"),"PARTIAL","WRONG / MISSED"))))))))</x:f>
        <x:v>UNREVIEWED</x:v>
      </x:c>
      <x:c r="AA81" s="17" t="str">
        <x:f>IF(OR(A81="",M81&lt;&gt;"VERIFIED",H81="",K81="",J81&lt;&gt;"FULL"),"",K81-H81)</x:f>
      </x:c>
      <x:c r="AB81" s="17" t="str">
        <x:f>IF(OR(A81="",M81&lt;&gt;"VERIFIED",H81="",H81&gt;=L81,J81="FULL",J81="UNASSESSABLE"),"",L81-H81)</x:f>
      </x:c>
      <x:c r="AC81" s="17" t="n">
        <x:f>IF(AND(A81&lt;&gt;"",M81="VERIFIED",N81="YES",H81&lt;&gt;"",H81&lt;L81,I81&lt;&gt;"UNASSESSABLE",I81&lt;&gt;"UNREVIEWED",I81&lt;&gt;"NOT_DUE"),1,0)</x:f>
        <x:v>0</x:v>
      </x:c>
      <x:c r="AD81" s="17" t="n">
        <x:f>IF(AND(AC81=1,I81="FULL"),1,0)</x:f>
        <x:v>0</x:v>
      </x:c>
      <x:c r="AE81" s="17" t="n">
        <x:f>IF(AND(AC81=1,OR(I81="FULL",J81="FULL")),1,0)</x:f>
        <x:v>0</x:v>
      </x:c>
      <x:c r="AF81" s="20"/>
    </x:row>
    <x:row r="82" ht="58" customHeight="1">
      <x:c r="A82" s="17" t="str">
        <x:v>EXE-017</x:v>
      </x:c>
      <x:c r="B82" s="17" t="str">
        <x:v>“By 2010 a supercomputer will have the computational capacity to emulate human intelligence”【22†L381-L389】</x:v>
      </x:c>
      <x:c r="C82" s="17" t="str">
        <x:v>AI &amp; software</x:v>
      </x:c>
      <x:c r="D82" s="17" t="str">
        <x:v>AI / Computing</x:v>
      </x:c>
      <x:c r="E82" s="17" t="str">
        <x:v>*The Singularity Is Near* (2005)</x:v>
      </x:c>
      <x:c r="F82" s="17" t="n">
        <x:v>2005</x:v>
      </x:c>
      <x:c r="G82" s="17" t="str">
        <x:v>2010</x:v>
      </x:c>
      <x:c r="H82" s="20"/>
      <x:c r="I82" s="17" t="str">
        <x:v>UNREVIEWED</x:v>
      </x:c>
      <x:c r="J82" s="17" t="str">
        <x:v>UNREVIEWED</x:v>
      </x:c>
      <x:c r="K82" s="20"/>
      <x:c r="L82" s="20" t="n">
        <x:v>2026</x:v>
      </x:c>
      <x:c r="M82" s="17" t="str">
        <x:v>UNREVIEWED</x:v>
      </x:c>
      <x:c r="N82" s="17" t="str">
        <x:v>NO</x:v>
      </x:c>
      <x:c r="O82" s="17"/>
      <x:c r="P82" s="17" t="str">
        <x:v>EXE-017</x:v>
      </x:c>
      <x:c r="Q82" s="17"/>
      <x:c r="R82" s="17"/>
      <x:c r="S82" s="17"/>
      <x:c r="T82" s="17"/>
      <x:c r="U82" s="17" t="str">
        <x:v>NO</x:v>
      </x:c>
      <x:c r="V82" s="17"/>
      <x:c r="W82" s="17"/>
      <x:c r="X82" s="17" t="str">
        <x:v>Imported research lead only. Verify attribution, deadline, scope and outcome; do not inherit the legacy score. Draft category needs review.</x:v>
      </x:c>
      <x:c r="Y82" s="17" t="str">
        <x:v>EXE-017</x:v>
      </x:c>
      <x:c r="Z82" s="17" t="str">
        <x:f>IF(A82="","",IF(M82="EXCLUDED","EXCLUDED",IF(M82&lt;&gt;"VERIFIED","UNREVIEWED",IF(OR(H82="",I82="UNASSESSABLE",J82="UNASSESSABLE"),"UNSCORABLE",IF(H82&gt;=L82,IF(J82="FULL","CORRECT","PENDING"),IF(I82="FULL","CORRECT",IF(J82="FULL","LATE",IF(OR(I82="PARTIAL",J82="PARTIAL"),"PARTIAL","WRONG / MISSED"))))))))</x:f>
        <x:v>UNREVIEWED</x:v>
      </x:c>
      <x:c r="AA82" s="17" t="str">
        <x:f>IF(OR(A82="",M82&lt;&gt;"VERIFIED",H82="",K82="",J82&lt;&gt;"FULL"),"",K82-H82)</x:f>
      </x:c>
      <x:c r="AB82" s="17" t="str">
        <x:f>IF(OR(A82="",M82&lt;&gt;"VERIFIED",H82="",H82&gt;=L82,J82="FULL",J82="UNASSESSABLE"),"",L82-H82)</x:f>
      </x:c>
      <x:c r="AC82" s="17" t="n">
        <x:f>IF(AND(A82&lt;&gt;"",M82="VERIFIED",N82="YES",H82&lt;&gt;"",H82&lt;L82,I82&lt;&gt;"UNASSESSABLE",I82&lt;&gt;"UNREVIEWED",I82&lt;&gt;"NOT_DUE"),1,0)</x:f>
        <x:v>0</x:v>
      </x:c>
      <x:c r="AD82" s="17" t="n">
        <x:f>IF(AND(AC82=1,I82="FULL"),1,0)</x:f>
        <x:v>0</x:v>
      </x:c>
      <x:c r="AE82" s="17" t="n">
        <x:f>IF(AND(AC82=1,OR(I82="FULL",J82="FULL")),1,0)</x:f>
        <x:v>0</x:v>
      </x:c>
      <x:c r="AF82" s="20"/>
    </x:row>
    <x:row r="83" ht="58" customHeight="1">
      <x:c r="A83" s="17" t="str">
        <x:v>EXE-018</x:v>
      </x:c>
      <x:c r="B83" s="17" t="str">
        <x:v>“By around 2020 the same capacity will be available for \$1,000”【22†L381-L389】</x:v>
      </x:c>
      <x:c r="C83" s="17" t="str">
        <x:v>AI &amp; software</x:v>
      </x:c>
      <x:c r="D83" s="17" t="str">
        <x:v>AI / Computing</x:v>
      </x:c>
      <x:c r="E83" s="17" t="str">
        <x:v>*The Singularity Is Near* (2005)</x:v>
      </x:c>
      <x:c r="F83" s="17" t="n">
        <x:v>2005</x:v>
      </x:c>
      <x:c r="G83" s="17" t="str">
        <x:v>~2020</x:v>
      </x:c>
      <x:c r="H83" s="20"/>
      <x:c r="I83" s="17" t="str">
        <x:v>UNREVIEWED</x:v>
      </x:c>
      <x:c r="J83" s="17" t="str">
        <x:v>UNREVIEWED</x:v>
      </x:c>
      <x:c r="K83" s="20"/>
      <x:c r="L83" s="20" t="n">
        <x:v>2026</x:v>
      </x:c>
      <x:c r="M83" s="17" t="str">
        <x:v>UNREVIEWED</x:v>
      </x:c>
      <x:c r="N83" s="17" t="str">
        <x:v>NO</x:v>
      </x:c>
      <x:c r="O83" s="17"/>
      <x:c r="P83" s="17" t="str">
        <x:v>EXE-018</x:v>
      </x:c>
      <x:c r="Q83" s="17"/>
      <x:c r="R83" s="17"/>
      <x:c r="S83" s="17"/>
      <x:c r="T83" s="17"/>
      <x:c r="U83" s="17" t="str">
        <x:v>NO</x:v>
      </x:c>
      <x:c r="V83" s="17"/>
      <x:c r="W83" s="17"/>
      <x:c r="X83" s="17" t="str">
        <x:v>Imported research lead only. Verify attribution, deadline, scope and outcome; do not inherit the legacy score. Draft category needs review.</x:v>
      </x:c>
      <x:c r="Y83" s="17" t="str">
        <x:v>EXE-018</x:v>
      </x:c>
      <x:c r="Z83" s="17" t="str">
        <x:f>IF(A83="","",IF(M83="EXCLUDED","EXCLUDED",IF(M83&lt;&gt;"VERIFIED","UNREVIEWED",IF(OR(H83="",I83="UNASSESSABLE",J83="UNASSESSABLE"),"UNSCORABLE",IF(H83&gt;=L83,IF(J83="FULL","CORRECT","PENDING"),IF(I83="FULL","CORRECT",IF(J83="FULL","LATE",IF(OR(I83="PARTIAL",J83="PARTIAL"),"PARTIAL","WRONG / MISSED"))))))))</x:f>
        <x:v>UNREVIEWED</x:v>
      </x:c>
      <x:c r="AA83" s="17" t="str">
        <x:f>IF(OR(A83="",M83&lt;&gt;"VERIFIED",H83="",K83="",J83&lt;&gt;"FULL"),"",K83-H83)</x:f>
      </x:c>
      <x:c r="AB83" s="17" t="str">
        <x:f>IF(OR(A83="",M83&lt;&gt;"VERIFIED",H83="",H83&gt;=L83,J83="FULL",J83="UNASSESSABLE"),"",L83-H83)</x:f>
      </x:c>
      <x:c r="AC83" s="17" t="n">
        <x:f>IF(AND(A83&lt;&gt;"",M83="VERIFIED",N83="YES",H83&lt;&gt;"",H83&lt;L83,I83&lt;&gt;"UNASSESSABLE",I83&lt;&gt;"UNREVIEWED",I83&lt;&gt;"NOT_DUE"),1,0)</x:f>
        <x:v>0</x:v>
      </x:c>
      <x:c r="AD83" s="17" t="n">
        <x:f>IF(AND(AC83=1,I83="FULL"),1,0)</x:f>
        <x:v>0</x:v>
      </x:c>
      <x:c r="AE83" s="17" t="n">
        <x:f>IF(AND(AC83=1,OR(I83="FULL",J83="FULL")),1,0)</x:f>
        <x:v>0</x:v>
      </x:c>
      <x:c r="AF83" s="20"/>
    </x:row>
    <x:row r="84" ht="58" customHeight="1">
      <x:c r="A84" s="17" t="str">
        <x:v>EXE-019</x:v>
      </x:c>
      <x:c r="B84" s="17" t="str">
        <x:v>“By mid-2020s an effective model of human intelligence via brain scanning”【22†L384-L387】</x:v>
      </x:c>
      <x:c r="C84" s="17" t="str">
        <x:v>Neuroscience &amp; human augmentation</x:v>
      </x:c>
      <x:c r="D84" s="17" t="str">
        <x:v>Neuroscience / AI</x:v>
      </x:c>
      <x:c r="E84" s="17" t="str">
        <x:v>*The Singularity Is Near* (2005)</x:v>
      </x:c>
      <x:c r="F84" s="17" t="n">
        <x:v>2005</x:v>
      </x:c>
      <x:c r="G84" s="17" t="str">
        <x:v>mid-2020s</x:v>
      </x:c>
      <x:c r="H84" s="20"/>
      <x:c r="I84" s="17" t="str">
        <x:v>UNREVIEWED</x:v>
      </x:c>
      <x:c r="J84" s="17" t="str">
        <x:v>UNREVIEWED</x:v>
      </x:c>
      <x:c r="K84" s="20"/>
      <x:c r="L84" s="20" t="n">
        <x:v>2026</x:v>
      </x:c>
      <x:c r="M84" s="17" t="str">
        <x:v>UNREVIEWED</x:v>
      </x:c>
      <x:c r="N84" s="17" t="str">
        <x:v>NO</x:v>
      </x:c>
      <x:c r="O84" s="17"/>
      <x:c r="P84" s="17" t="str">
        <x:v>EXE-019</x:v>
      </x:c>
      <x:c r="Q84" s="17"/>
      <x:c r="R84" s="17"/>
      <x:c r="S84" s="17"/>
      <x:c r="T84" s="17"/>
      <x:c r="U84" s="17" t="str">
        <x:v>NO</x:v>
      </x:c>
      <x:c r="V84" s="17"/>
      <x:c r="W84" s="17"/>
      <x:c r="X84" s="17" t="str">
        <x:v>Imported research lead only. Verify attribution, deadline, scope and outcome; do not inherit the legacy score. Draft category needs review.</x:v>
      </x:c>
      <x:c r="Y84" s="17" t="str">
        <x:v>EXE-019</x:v>
      </x:c>
      <x:c r="Z84" s="17" t="str">
        <x:f>IF(A84="","",IF(M84="EXCLUDED","EXCLUDED",IF(M84&lt;&gt;"VERIFIED","UNREVIEWED",IF(OR(H84="",I84="UNASSESSABLE",J84="UNASSESSABLE"),"UNSCORABLE",IF(H84&gt;=L84,IF(J84="FULL","CORRECT","PENDING"),IF(I84="FULL","CORRECT",IF(J84="FULL","LATE",IF(OR(I84="PARTIAL",J84="PARTIAL"),"PARTIAL","WRONG / MISSED"))))))))</x:f>
        <x:v>UNREVIEWED</x:v>
      </x:c>
      <x:c r="AA84" s="17" t="str">
        <x:f>IF(OR(A84="",M84&lt;&gt;"VERIFIED",H84="",K84="",J84&lt;&gt;"FULL"),"",K84-H84)</x:f>
      </x:c>
      <x:c r="AB84" s="17" t="str">
        <x:f>IF(OR(A84="",M84&lt;&gt;"VERIFIED",H84="",H84&gt;=L84,J84="FULL",J84="UNASSESSABLE"),"",L84-H84)</x:f>
      </x:c>
      <x:c r="AC84" s="17" t="n">
        <x:f>IF(AND(A84&lt;&gt;"",M84="VERIFIED",N84="YES",H84&lt;&gt;"",H84&lt;L84,I84&lt;&gt;"UNASSESSABLE",I84&lt;&gt;"UNREVIEWED",I84&lt;&gt;"NOT_DUE"),1,0)</x:f>
        <x:v>0</x:v>
      </x:c>
      <x:c r="AD84" s="17" t="n">
        <x:f>IF(AND(AC84=1,I84="FULL"),1,0)</x:f>
        <x:v>0</x:v>
      </x:c>
      <x:c r="AE84" s="17" t="n">
        <x:f>IF(AND(AC84=1,OR(I84="FULL",J84="FULL")),1,0)</x:f>
        <x:v>0</x:v>
      </x:c>
      <x:c r="AF84" s="20"/>
    </x:row>
    <x:row r="85" ht="58" customHeight="1">
      <x:c r="A85" s="17" t="str">
        <x:v>EXE-020</x:v>
      </x:c>
      <x:c r="B85" s="17" t="str">
        <x:v>“Computers will pass the Turing test by 2029”【22†L384-L387】【79†L692-L700】</x:v>
      </x:c>
      <x:c r="C85" s="17" t="str">
        <x:v>AI &amp; software</x:v>
      </x:c>
      <x:c r="D85" s="17" t="str">
        <x:v>AI / Turing</x:v>
      </x:c>
      <x:c r="E85" s="17" t="str">
        <x:v>*Singularity Is Near* (2005) &amp; *Ray Kurzweil (1999)*</x:v>
      </x:c>
      <x:c r="F85" s="17" t="n">
        <x:v>2005</x:v>
      </x:c>
      <x:c r="G85" s="17" t="str">
        <x:v>2029</x:v>
      </x:c>
      <x:c r="H85" s="20"/>
      <x:c r="I85" s="17" t="str">
        <x:v>UNREVIEWED</x:v>
      </x:c>
      <x:c r="J85" s="17" t="str">
        <x:v>UNREVIEWED</x:v>
      </x:c>
      <x:c r="K85" s="20"/>
      <x:c r="L85" s="20" t="n">
        <x:v>2026</x:v>
      </x:c>
      <x:c r="M85" s="17" t="str">
        <x:v>UNREVIEWED</x:v>
      </x:c>
      <x:c r="N85" s="17" t="str">
        <x:v>NO</x:v>
      </x:c>
      <x:c r="O85" s="17"/>
      <x:c r="P85" s="17" t="str">
        <x:v>EXE-020</x:v>
      </x:c>
      <x:c r="Q85" s="17"/>
      <x:c r="R85" s="17"/>
      <x:c r="S85" s="17"/>
      <x:c r="T85" s="17"/>
      <x:c r="U85" s="17" t="str">
        <x:v>NO</x:v>
      </x:c>
      <x:c r="V85" s="17"/>
      <x:c r="W85" s="17"/>
      <x:c r="X85" s="17" t="str">
        <x:v>Imported research lead only. Verify attribution, deadline, scope and outcome; do not inherit the legacy score. Draft category needs review.</x:v>
      </x:c>
      <x:c r="Y85" s="17" t="str">
        <x:v>EXE-020</x:v>
      </x:c>
      <x:c r="Z85" s="17" t="str">
        <x:f>IF(A85="","",IF(M85="EXCLUDED","EXCLUDED",IF(M85&lt;&gt;"VERIFIED","UNREVIEWED",IF(OR(H85="",I85="UNASSESSABLE",J85="UNASSESSABLE"),"UNSCORABLE",IF(H85&gt;=L85,IF(J85="FULL","CORRECT","PENDING"),IF(I85="FULL","CORRECT",IF(J85="FULL","LATE",IF(OR(I85="PARTIAL",J85="PARTIAL"),"PARTIAL","WRONG / MISSED"))))))))</x:f>
        <x:v>UNREVIEWED</x:v>
      </x:c>
      <x:c r="AA85" s="17" t="str">
        <x:f>IF(OR(A85="",M85&lt;&gt;"VERIFIED",H85="",K85="",J85&lt;&gt;"FULL"),"",K85-H85)</x:f>
      </x:c>
      <x:c r="AB85" s="17" t="str">
        <x:f>IF(OR(A85="",M85&lt;&gt;"VERIFIED",H85="",H85&gt;=L85,J85="FULL",J85="UNASSESSABLE"),"",L85-H85)</x:f>
      </x:c>
      <x:c r="AC85" s="17" t="n">
        <x:f>IF(AND(A85&lt;&gt;"",M85="VERIFIED",N85="YES",H85&lt;&gt;"",H85&lt;L85,I85&lt;&gt;"UNASSESSABLE",I85&lt;&gt;"UNREVIEWED",I85&lt;&gt;"NOT_DUE"),1,0)</x:f>
        <x:v>0</x:v>
      </x:c>
      <x:c r="AD85" s="17" t="n">
        <x:f>IF(AND(AC85=1,I85="FULL"),1,0)</x:f>
        <x:v>0</x:v>
      </x:c>
      <x:c r="AE85" s="17" t="n">
        <x:f>IF(AND(AC85=1,OR(I85="FULL",J85="FULL")),1,0)</x:f>
        <x:v>0</x:v>
      </x:c>
      <x:c r="AF85" s="20"/>
    </x:row>
    <x:row r="86" ht="58" customHeight="1">
      <x:c r="A86" s="17" t="str">
        <x:v>EXE-021</x:v>
      </x:c>
      <x:c r="B86" s="17" t="str">
        <x:v>“By early 2030s, human and machine intelligence integrated” (hybrid intelligence)【79†L692-L700】</x:v>
      </x:c>
      <x:c r="C86" s="17" t="str">
        <x:v>Neuroscience &amp; human augmentation</x:v>
      </x:c>
      <x:c r="D86" s="17" t="str">
        <x:v>AI / Neurosci</x:v>
      </x:c>
      <x:c r="E86" s="17" t="str">
        <x:v>*Ray Kurzweil (2008)* panel &amp; later interviews</x:v>
      </x:c>
      <x:c r="F86" s="17" t="n">
        <x:v>2008</x:v>
      </x:c>
      <x:c r="G86" s="17" t="str">
        <x:v>2030s</x:v>
      </x:c>
      <x:c r="H86" s="20"/>
      <x:c r="I86" s="17" t="str">
        <x:v>UNREVIEWED</x:v>
      </x:c>
      <x:c r="J86" s="17" t="str">
        <x:v>UNREVIEWED</x:v>
      </x:c>
      <x:c r="K86" s="20"/>
      <x:c r="L86" s="20" t="n">
        <x:v>2026</x:v>
      </x:c>
      <x:c r="M86" s="17" t="str">
        <x:v>UNREVIEWED</x:v>
      </x:c>
      <x:c r="N86" s="17" t="str">
        <x:v>NO</x:v>
      </x:c>
      <x:c r="O86" s="17"/>
      <x:c r="P86" s="17" t="str">
        <x:v>EXE-021</x:v>
      </x:c>
      <x:c r="Q86" s="17"/>
      <x:c r="R86" s="17"/>
      <x:c r="S86" s="17"/>
      <x:c r="T86" s="17"/>
      <x:c r="U86" s="17" t="str">
        <x:v>NO</x:v>
      </x:c>
      <x:c r="V86" s="17"/>
      <x:c r="W86" s="17"/>
      <x:c r="X86" s="17" t="str">
        <x:v>Imported research lead only. Verify attribution, deadline, scope and outcome; do not inherit the legacy score. Draft category needs review.</x:v>
      </x:c>
      <x:c r="Y86" s="17" t="str">
        <x:v>EXE-021</x:v>
      </x:c>
      <x:c r="Z86" s="17" t="str">
        <x:f>IF(A86="","",IF(M86="EXCLUDED","EXCLUDED",IF(M86&lt;&gt;"VERIFIED","UNREVIEWED",IF(OR(H86="",I86="UNASSESSABLE",J86="UNASSESSABLE"),"UNSCORABLE",IF(H86&gt;=L86,IF(J86="FULL","CORRECT","PENDING"),IF(I86="FULL","CORRECT",IF(J86="FULL","LATE",IF(OR(I86="PARTIAL",J86="PARTIAL"),"PARTIAL","WRONG / MISSED"))))))))</x:f>
        <x:v>UNREVIEWED</x:v>
      </x:c>
      <x:c r="AA86" s="17" t="str">
        <x:f>IF(OR(A86="",M86&lt;&gt;"VERIFIED",H86="",K86="",J86&lt;&gt;"FULL"),"",K86-H86)</x:f>
      </x:c>
      <x:c r="AB86" s="17" t="str">
        <x:f>IF(OR(A86="",M86&lt;&gt;"VERIFIED",H86="",H86&gt;=L86,J86="FULL",J86="UNASSESSABLE"),"",L86-H86)</x:f>
      </x:c>
      <x:c r="AC86" s="17" t="n">
        <x:f>IF(AND(A86&lt;&gt;"",M86="VERIFIED",N86="YES",H86&lt;&gt;"",H86&lt;L86,I86&lt;&gt;"UNASSESSABLE",I86&lt;&gt;"UNREVIEWED",I86&lt;&gt;"NOT_DUE"),1,0)</x:f>
        <x:v>0</x:v>
      </x:c>
      <x:c r="AD86" s="17" t="n">
        <x:f>IF(AND(AC86=1,I86="FULL"),1,0)</x:f>
        <x:v>0</x:v>
      </x:c>
      <x:c r="AE86" s="17" t="n">
        <x:f>IF(AND(AC86=1,OR(I86="FULL",J86="FULL")),1,0)</x:f>
        <x:v>0</x:v>
      </x:c>
      <x:c r="AF86" s="20"/>
    </x:row>
    <x:row r="87" ht="58" customHeight="1">
      <x:c r="A87" s="17" t="str">
        <x:v>EXE-022</x:v>
      </x:c>
      <x:c r="B87" s="17" t="str">
        <x:v>“It will take \$1,000 to equal 1000 human brains by 2029”【63†L392-L399】</x:v>
      </x:c>
      <x:c r="C87" s="17" t="str">
        <x:v>AI &amp; software</x:v>
      </x:c>
      <x:c r="D87" s="17" t="str">
        <x:v>AI / Computing</x:v>
      </x:c>
      <x:c r="E87" s="17" t="str">
        <x:v>*The Age of Spiritual Machines* (1999)</x:v>
      </x:c>
      <x:c r="F87" s="17" t="n">
        <x:v>1999</x:v>
      </x:c>
      <x:c r="G87" s="17" t="str">
        <x:v>2029</x:v>
      </x:c>
      <x:c r="H87" s="20"/>
      <x:c r="I87" s="17" t="str">
        <x:v>UNREVIEWED</x:v>
      </x:c>
      <x:c r="J87" s="17" t="str">
        <x:v>UNREVIEWED</x:v>
      </x:c>
      <x:c r="K87" s="20"/>
      <x:c r="L87" s="20" t="n">
        <x:v>2026</x:v>
      </x:c>
      <x:c r="M87" s="17" t="str">
        <x:v>UNREVIEWED</x:v>
      </x:c>
      <x:c r="N87" s="17" t="str">
        <x:v>NO</x:v>
      </x:c>
      <x:c r="O87" s="17"/>
      <x:c r="P87" s="17" t="str">
        <x:v>EXE-022</x:v>
      </x:c>
      <x:c r="Q87" s="17"/>
      <x:c r="R87" s="17"/>
      <x:c r="S87" s="17"/>
      <x:c r="T87" s="17"/>
      <x:c r="U87" s="17" t="str">
        <x:v>NO</x:v>
      </x:c>
      <x:c r="V87" s="17"/>
      <x:c r="W87" s="17"/>
      <x:c r="X87" s="17" t="str">
        <x:v>Imported research lead only. Verify attribution, deadline, scope and outcome; do not inherit the legacy score. Draft category needs review.</x:v>
      </x:c>
      <x:c r="Y87" s="17" t="str">
        <x:v>EXE-022</x:v>
      </x:c>
      <x:c r="Z87" s="17" t="str">
        <x:f>IF(A87="","",IF(M87="EXCLUDED","EXCLUDED",IF(M87&lt;&gt;"VERIFIED","UNREVIEWED",IF(OR(H87="",I87="UNASSESSABLE",J87="UNASSESSABLE"),"UNSCORABLE",IF(H87&gt;=L87,IF(J87="FULL","CORRECT","PENDING"),IF(I87="FULL","CORRECT",IF(J87="FULL","LATE",IF(OR(I87="PARTIAL",J87="PARTIAL"),"PARTIAL","WRONG / MISSED"))))))))</x:f>
        <x:v>UNREVIEWED</x:v>
      </x:c>
      <x:c r="AA87" s="17" t="str">
        <x:f>IF(OR(A87="",M87&lt;&gt;"VERIFIED",H87="",K87="",J87&lt;&gt;"FULL"),"",K87-H87)</x:f>
      </x:c>
      <x:c r="AB87" s="17" t="str">
        <x:f>IF(OR(A87="",M87&lt;&gt;"VERIFIED",H87="",H87&gt;=L87,J87="FULL",J87="UNASSESSABLE"),"",L87-H87)</x:f>
      </x:c>
      <x:c r="AC87" s="17" t="n">
        <x:f>IF(AND(A87&lt;&gt;"",M87="VERIFIED",N87="YES",H87&lt;&gt;"",H87&lt;L87,I87&lt;&gt;"UNASSESSABLE",I87&lt;&gt;"UNREVIEWED",I87&lt;&gt;"NOT_DUE"),1,0)</x:f>
        <x:v>0</x:v>
      </x:c>
      <x:c r="AD87" s="17" t="n">
        <x:f>IF(AND(AC87=1,I87="FULL"),1,0)</x:f>
        <x:v>0</x:v>
      </x:c>
      <x:c r="AE87" s="17" t="n">
        <x:f>IF(AND(AC87=1,OR(I87="FULL",J87="FULL")),1,0)</x:f>
        <x:v>0</x:v>
      </x:c>
      <x:c r="AF87" s="20"/>
    </x:row>
    <x:row r="88" ht="58" customHeight="1">
      <x:c r="A88" s="17" t="str">
        <x:v>EXE-023</x:v>
      </x:c>
      <x:c r="B88" s="17" t="str">
        <x:v>“Universal basic income in developed world by early 2030s, worldwide by late 2030s”【79†L624-L627】</x:v>
      </x:c>
      <x:c r="C88" s="17" t="str">
        <x:v>Economy &amp; society</x:v>
      </x:c>
      <x:c r="D88" s="17" t="str">
        <x:v>Economics / Social</x:v>
      </x:c>
      <x:c r="E88" s="17" t="str">
        <x:v>*Ray Kurzweil (2018 TED Talk)*</x:v>
      </x:c>
      <x:c r="F88" s="17"/>
      <x:c r="G88" s="17" t="str">
        <x:v>early 2030s</x:v>
      </x:c>
      <x:c r="H88" s="20"/>
      <x:c r="I88" s="17" t="str">
        <x:v>UNREVIEWED</x:v>
      </x:c>
      <x:c r="J88" s="17" t="str">
        <x:v>UNREVIEWED</x:v>
      </x:c>
      <x:c r="K88" s="20"/>
      <x:c r="L88" s="20" t="n">
        <x:v>2026</x:v>
      </x:c>
      <x:c r="M88" s="17" t="str">
        <x:v>UNREVIEWED</x:v>
      </x:c>
      <x:c r="N88" s="17" t="str">
        <x:v>NO</x:v>
      </x:c>
      <x:c r="O88" s="17"/>
      <x:c r="P88" s="17" t="str">
        <x:v>EXE-023</x:v>
      </x:c>
      <x:c r="Q88" s="17"/>
      <x:c r="R88" s="17"/>
      <x:c r="S88" s="17"/>
      <x:c r="T88" s="17"/>
      <x:c r="U88" s="17" t="str">
        <x:v>NO</x:v>
      </x:c>
      <x:c r="V88" s="17"/>
      <x:c r="W88" s="17"/>
      <x:c r="X88" s="17" t="str">
        <x:v>Imported research lead only. Verify attribution, deadline, scope and outcome; do not inherit the legacy score. Draft category needs review.</x:v>
      </x:c>
      <x:c r="Y88" s="17" t="str">
        <x:v>EXE-023</x:v>
      </x:c>
      <x:c r="Z88" s="17" t="str">
        <x:f>IF(A88="","",IF(M88="EXCLUDED","EXCLUDED",IF(M88&lt;&gt;"VERIFIED","UNREVIEWED",IF(OR(H88="",I88="UNASSESSABLE",J88="UNASSESSABLE"),"UNSCORABLE",IF(H88&gt;=L88,IF(J88="FULL","CORRECT","PENDING"),IF(I88="FULL","CORRECT",IF(J88="FULL","LATE",IF(OR(I88="PARTIAL",J88="PARTIAL"),"PARTIAL","WRONG / MISSED"))))))))</x:f>
        <x:v>UNREVIEWED</x:v>
      </x:c>
      <x:c r="AA88" s="17" t="str">
        <x:f>IF(OR(A88="",M88&lt;&gt;"VERIFIED",H88="",K88="",J88&lt;&gt;"FULL"),"",K88-H88)</x:f>
      </x:c>
      <x:c r="AB88" s="17" t="str">
        <x:f>IF(OR(A88="",M88&lt;&gt;"VERIFIED",H88="",H88&gt;=L88,J88="FULL",J88="UNASSESSABLE"),"",L88-H88)</x:f>
      </x:c>
      <x:c r="AC88" s="17" t="n">
        <x:f>IF(AND(A88&lt;&gt;"",M88="VERIFIED",N88="YES",H88&lt;&gt;"",H88&lt;L88,I88&lt;&gt;"UNASSESSABLE",I88&lt;&gt;"UNREVIEWED",I88&lt;&gt;"NOT_DUE"),1,0)</x:f>
        <x:v>0</x:v>
      </x:c>
      <x:c r="AD88" s="17" t="n">
        <x:f>IF(AND(AC88=1,I88="FULL"),1,0)</x:f>
        <x:v>0</x:v>
      </x:c>
      <x:c r="AE88" s="17" t="n">
        <x:f>IF(AND(AC88=1,OR(I88="FULL",J88="FULL")),1,0)</x:f>
        <x:v>0</x:v>
      </x:c>
      <x:c r="AF88" s="20"/>
    </x:row>
    <x:row r="89" ht="58" customHeight="1">
      <x:c r="A89" s="17" t="str">
        <x:v>EXE-025</x:v>
      </x:c>
      <x:c r="B89" s="17" t="str">
        <x:v>“During the 2020s, AI plus biotechnology will cure most chronic degenerative diseases”【24†L169-L174】</x:v>
      </x:c>
      <x:c r="C89" s="17" t="str">
        <x:v>Biology &amp; medicine</x:v>
      </x:c>
      <x:c r="D89" s="17" t="str">
        <x:v>Biotech / AI</x:v>
      </x:c>
      <x:c r="E89" s="17" t="str">
        <x:v>*Singularity Is Nearer* (2024)</x:v>
      </x:c>
      <x:c r="F89" s="17" t="n">
        <x:v>2024</x:v>
      </x:c>
      <x:c r="G89" s="17" t="str">
        <x:v>2020s</x:v>
      </x:c>
      <x:c r="H89" s="20"/>
      <x:c r="I89" s="17" t="str">
        <x:v>UNREVIEWED</x:v>
      </x:c>
      <x:c r="J89" s="17" t="str">
        <x:v>UNREVIEWED</x:v>
      </x:c>
      <x:c r="K89" s="20"/>
      <x:c r="L89" s="20" t="n">
        <x:v>2026</x:v>
      </x:c>
      <x:c r="M89" s="17" t="str">
        <x:v>UNREVIEWED</x:v>
      </x:c>
      <x:c r="N89" s="17" t="str">
        <x:v>NO</x:v>
      </x:c>
      <x:c r="O89" s="17"/>
      <x:c r="P89" s="17" t="str">
        <x:v>EXE-025</x:v>
      </x:c>
      <x:c r="Q89" s="17"/>
      <x:c r="R89" s="17"/>
      <x:c r="S89" s="17"/>
      <x:c r="T89" s="17"/>
      <x:c r="U89" s="17" t="str">
        <x:v>NO</x:v>
      </x:c>
      <x:c r="V89" s="17"/>
      <x:c r="W89" s="17"/>
      <x:c r="X89" s="17" t="str">
        <x:v>Imported research lead only. Verify attribution, deadline, scope and outcome; do not inherit the legacy score. Draft category needs review.</x:v>
      </x:c>
      <x:c r="Y89" s="17" t="str">
        <x:v>EXE-025</x:v>
      </x:c>
      <x:c r="Z89" s="17" t="str">
        <x:f>IF(A89="","",IF(M89="EXCLUDED","EXCLUDED",IF(M89&lt;&gt;"VERIFIED","UNREVIEWED",IF(OR(H89="",I89="UNASSESSABLE",J89="UNASSESSABLE"),"UNSCORABLE",IF(H89&gt;=L89,IF(J89="FULL","CORRECT","PENDING"),IF(I89="FULL","CORRECT",IF(J89="FULL","LATE",IF(OR(I89="PARTIAL",J89="PARTIAL"),"PARTIAL","WRONG / MISSED"))))))))</x:f>
        <x:v>UNREVIEWED</x:v>
      </x:c>
      <x:c r="AA89" s="17" t="str">
        <x:f>IF(OR(A89="",M89&lt;&gt;"VERIFIED",H89="",K89="",J89&lt;&gt;"FULL"),"",K89-H89)</x:f>
      </x:c>
      <x:c r="AB89" s="17" t="str">
        <x:f>IF(OR(A89="",M89&lt;&gt;"VERIFIED",H89="",H89&gt;=L89,J89="FULL",J89="UNASSESSABLE"),"",L89-H89)</x:f>
      </x:c>
      <x:c r="AC89" s="17" t="n">
        <x:f>IF(AND(A89&lt;&gt;"",M89="VERIFIED",N89="YES",H89&lt;&gt;"",H89&lt;L89,I89&lt;&gt;"UNASSESSABLE",I89&lt;&gt;"UNREVIEWED",I89&lt;&gt;"NOT_DUE"),1,0)</x:f>
        <x:v>0</x:v>
      </x:c>
      <x:c r="AD89" s="17" t="n">
        <x:f>IF(AND(AC89=1,I89="FULL"),1,0)</x:f>
        <x:v>0</x:v>
      </x:c>
      <x:c r="AE89" s="17" t="n">
        <x:f>IF(AND(AC89=1,OR(I89="FULL",J89="FULL")),1,0)</x:f>
        <x:v>0</x:v>
      </x:c>
      <x:c r="AF89" s="20"/>
    </x:row>
    <x:row r="90" ht="58" customHeight="1">
      <x:c r="A90" s="17" t="str">
        <x:v>EXE-026</x:v>
      </x:c>
      <x:c r="B90" s="17" t="str">
        <x:v>“By the mid-2020s, AI can model the human mind; by 2030s life extenda” (implied continuation)</x:v>
      </x:c>
      <x:c r="C90" s="17" t="str">
        <x:v>Longevity</x:v>
      </x:c>
      <x:c r="D90" s="17" t="str">
        <x:v>Neuroscience / Longevity</x:v>
      </x:c>
      <x:c r="E90" s="17" t="str">
        <x:v>*Various Kurzweil interviews (2020–24)*</x:v>
      </x:c>
      <x:c r="F90" s="17"/>
      <x:c r="G90" s="17" t="str">
        <x:v>2025–2035</x:v>
      </x:c>
      <x:c r="H90" s="20"/>
      <x:c r="I90" s="17" t="str">
        <x:v>UNREVIEWED</x:v>
      </x:c>
      <x:c r="J90" s="17" t="str">
        <x:v>UNREVIEWED</x:v>
      </x:c>
      <x:c r="K90" s="20"/>
      <x:c r="L90" s="20" t="n">
        <x:v>2026</x:v>
      </x:c>
      <x:c r="M90" s="17" t="str">
        <x:v>UNREVIEWED</x:v>
      </x:c>
      <x:c r="N90" s="17" t="str">
        <x:v>NO</x:v>
      </x:c>
      <x:c r="O90" s="17"/>
      <x:c r="P90" s="17" t="str">
        <x:v>EXE-026</x:v>
      </x:c>
      <x:c r="Q90" s="17"/>
      <x:c r="R90" s="17"/>
      <x:c r="S90" s="17"/>
      <x:c r="T90" s="17"/>
      <x:c r="U90" s="17" t="str">
        <x:v>NO</x:v>
      </x:c>
      <x:c r="V90" s="17"/>
      <x:c r="W90" s="17"/>
      <x:c r="X90" s="17" t="str">
        <x:v>Imported research lead only. Verify attribution, deadline, scope and outcome; do not inherit the legacy score. Draft category needs review.</x:v>
      </x:c>
      <x:c r="Y90" s="17" t="str">
        <x:v>EXE-026</x:v>
      </x:c>
      <x:c r="Z90" s="17" t="str">
        <x:f>IF(A90="","",IF(M90="EXCLUDED","EXCLUDED",IF(M90&lt;&gt;"VERIFIED","UNREVIEWED",IF(OR(H90="",I90="UNASSESSABLE",J90="UNASSESSABLE"),"UNSCORABLE",IF(H90&gt;=L90,IF(J90="FULL","CORRECT","PENDING"),IF(I90="FULL","CORRECT",IF(J90="FULL","LATE",IF(OR(I90="PARTIAL",J90="PARTIAL"),"PARTIAL","WRONG / MISSED"))))))))</x:f>
        <x:v>UNREVIEWED</x:v>
      </x:c>
      <x:c r="AA90" s="17" t="str">
        <x:f>IF(OR(A90="",M90&lt;&gt;"VERIFIED",H90="",K90="",J90&lt;&gt;"FULL"),"",K90-H90)</x:f>
      </x:c>
      <x:c r="AB90" s="17" t="str">
        <x:f>IF(OR(A90="",M90&lt;&gt;"VERIFIED",H90="",H90&gt;=L90,J90="FULL",J90="UNASSESSABLE"),"",L90-H90)</x:f>
      </x:c>
      <x:c r="AC90" s="17" t="n">
        <x:f>IF(AND(A90&lt;&gt;"",M90="VERIFIED",N90="YES",H90&lt;&gt;"",H90&lt;L90,I90&lt;&gt;"UNASSESSABLE",I90&lt;&gt;"UNREVIEWED",I90&lt;&gt;"NOT_DUE"),1,0)</x:f>
        <x:v>0</x:v>
      </x:c>
      <x:c r="AD90" s="17" t="n">
        <x:f>IF(AND(AC90=1,I90="FULL"),1,0)</x:f>
        <x:v>0</x:v>
      </x:c>
      <x:c r="AE90" s="17" t="n">
        <x:f>IF(AND(AC90=1,OR(I90="FULL",J90="FULL")),1,0)</x:f>
        <x:v>0</x:v>
      </x:c>
      <x:c r="AF90" s="20"/>
    </x:row>
    <x:row r="91" ht="58" customHeight="1">
      <x:c r="A91" s="17" t="str">
        <x:v>EXE-028</x:v>
      </x:c>
      <x:c r="B91" s="17" t="str">
        <x:v>“By 2045 the Singularity: computing power ~10^9× human brain, humans merged with machines”【24†L169-L174】【81†L537-L541】</x:v>
      </x:c>
      <x:c r="C91" s="17" t="str">
        <x:v>AI &amp; software</x:v>
      </x:c>
      <x:c r="D91" s="17" t="str">
        <x:v>AI / Singularity</x:v>
      </x:c>
      <x:c r="E91" s="17" t="str">
        <x:v>*Singularity Is Near* (2005); AIS Health (2016)</x:v>
      </x:c>
      <x:c r="F91" s="17" t="n">
        <x:v>2005</x:v>
      </x:c>
      <x:c r="G91" s="17" t="str">
        <x:v>2045</x:v>
      </x:c>
      <x:c r="H91" s="20"/>
      <x:c r="I91" s="17" t="str">
        <x:v>UNREVIEWED</x:v>
      </x:c>
      <x:c r="J91" s="17" t="str">
        <x:v>UNREVIEWED</x:v>
      </x:c>
      <x:c r="K91" s="20"/>
      <x:c r="L91" s="20" t="n">
        <x:v>2026</x:v>
      </x:c>
      <x:c r="M91" s="17" t="str">
        <x:v>UNREVIEWED</x:v>
      </x:c>
      <x:c r="N91" s="17" t="str">
        <x:v>NO</x:v>
      </x:c>
      <x:c r="O91" s="17"/>
      <x:c r="P91" s="17" t="str">
        <x:v>EXE-028</x:v>
      </x:c>
      <x:c r="Q91" s="17"/>
      <x:c r="R91" s="17"/>
      <x:c r="S91" s="17"/>
      <x:c r="T91" s="17"/>
      <x:c r="U91" s="17" t="str">
        <x:v>NO</x:v>
      </x:c>
      <x:c r="V91" s="17"/>
      <x:c r="W91" s="17"/>
      <x:c r="X91" s="17" t="str">
        <x:v>Imported research lead only. Verify attribution, deadline, scope and outcome; do not inherit the legacy score. Draft category needs review.</x:v>
      </x:c>
      <x:c r="Y91" s="17" t="str">
        <x:v>EXE-028</x:v>
      </x:c>
      <x:c r="Z91" s="17" t="str">
        <x:f>IF(A91="","",IF(M91="EXCLUDED","EXCLUDED",IF(M91&lt;&gt;"VERIFIED","UNREVIEWED",IF(OR(H91="",I91="UNASSESSABLE",J91="UNASSESSABLE"),"UNSCORABLE",IF(H91&gt;=L91,IF(J91="FULL","CORRECT","PENDING"),IF(I91="FULL","CORRECT",IF(J91="FULL","LATE",IF(OR(I91="PARTIAL",J91="PARTIAL"),"PARTIAL","WRONG / MISSED"))))))))</x:f>
        <x:v>UNREVIEWED</x:v>
      </x:c>
      <x:c r="AA91" s="17" t="str">
        <x:f>IF(OR(A91="",M91&lt;&gt;"VERIFIED",H91="",K91="",J91&lt;&gt;"FULL"),"",K91-H91)</x:f>
      </x:c>
      <x:c r="AB91" s="17" t="str">
        <x:f>IF(OR(A91="",M91&lt;&gt;"VERIFIED",H91="",H91&gt;=L91,J91="FULL",J91="UNASSESSABLE"),"",L91-H91)</x:f>
      </x:c>
      <x:c r="AC91" s="17" t="n">
        <x:f>IF(AND(A91&lt;&gt;"",M91="VERIFIED",N91="YES",H91&lt;&gt;"",H91&lt;L91,I91&lt;&gt;"UNASSESSABLE",I91&lt;&gt;"UNREVIEWED",I91&lt;&gt;"NOT_DUE"),1,0)</x:f>
        <x:v>0</x:v>
      </x:c>
      <x:c r="AD91" s="17" t="n">
        <x:f>IF(AND(AC91=1,I91="FULL"),1,0)</x:f>
        <x:v>0</x:v>
      </x:c>
      <x:c r="AE91" s="17" t="n">
        <x:f>IF(AND(AC91=1,OR(I91="FULL",J91="FULL")),1,0)</x:f>
        <x:v>0</x:v>
      </x:c>
      <x:c r="AF91" s="20"/>
    </x:row>
    <x:row r="92" ht="58" customHeight="1">
      <x:c r="A92" s="17" t="str">
        <x:v>EXE-029</x:v>
      </x:c>
      <x:c r="B92" s="17" t="str">
        <x:v>“By 2050 average human lifespan 150 years” (implied from interview claims)【19†L123-L130】</x:v>
      </x:c>
      <x:c r="C92" s="17" t="str">
        <x:v>Longevity</x:v>
      </x:c>
      <x:c r="D92" s="17" t="str">
        <x:v>Longevity</x:v>
      </x:c>
      <x:c r="E92" s="17" t="str">
        <x:v>*Scientific American / Singularity Is Nearer (2024)*</x:v>
      </x:c>
      <x:c r="F92" s="17" t="n">
        <x:v>2024</x:v>
      </x:c>
      <x:c r="G92" s="17" t="str">
        <x:v>2050</x:v>
      </x:c>
      <x:c r="H92" s="20"/>
      <x:c r="I92" s="17" t="str">
        <x:v>UNREVIEWED</x:v>
      </x:c>
      <x:c r="J92" s="17" t="str">
        <x:v>UNREVIEWED</x:v>
      </x:c>
      <x:c r="K92" s="20"/>
      <x:c r="L92" s="20" t="n">
        <x:v>2026</x:v>
      </x:c>
      <x:c r="M92" s="17" t="str">
        <x:v>UNREVIEWED</x:v>
      </x:c>
      <x:c r="N92" s="17" t="str">
        <x:v>NO</x:v>
      </x:c>
      <x:c r="O92" s="17"/>
      <x:c r="P92" s="17" t="str">
        <x:v>EXE-029</x:v>
      </x:c>
      <x:c r="Q92" s="17"/>
      <x:c r="R92" s="17"/>
      <x:c r="S92" s="17"/>
      <x:c r="T92" s="17"/>
      <x:c r="U92" s="17" t="str">
        <x:v>NO</x:v>
      </x:c>
      <x:c r="V92" s="17"/>
      <x:c r="W92" s="17"/>
      <x:c r="X92" s="17" t="str">
        <x:v>Imported research lead only. Verify attribution, deadline, scope and outcome; do not inherit the legacy score. Draft category needs review.</x:v>
      </x:c>
      <x:c r="Y92" s="17" t="str">
        <x:v>EXE-029</x:v>
      </x:c>
      <x:c r="Z92" s="17" t="str">
        <x:f>IF(A92="","",IF(M92="EXCLUDED","EXCLUDED",IF(M92&lt;&gt;"VERIFIED","UNREVIEWED",IF(OR(H92="",I92="UNASSESSABLE",J92="UNASSESSABLE"),"UNSCORABLE",IF(H92&gt;=L92,IF(J92="FULL","CORRECT","PENDING"),IF(I92="FULL","CORRECT",IF(J92="FULL","LATE",IF(OR(I92="PARTIAL",J92="PARTIAL"),"PARTIAL","WRONG / MISSED"))))))))</x:f>
        <x:v>UNREVIEWED</x:v>
      </x:c>
      <x:c r="AA92" s="17" t="str">
        <x:f>IF(OR(A92="",M92&lt;&gt;"VERIFIED",H92="",K92="",J92&lt;&gt;"FULL"),"",K92-H92)</x:f>
      </x:c>
      <x:c r="AB92" s="17" t="str">
        <x:f>IF(OR(A92="",M92&lt;&gt;"VERIFIED",H92="",H92&gt;=L92,J92="FULL",J92="UNASSESSABLE"),"",L92-H92)</x:f>
      </x:c>
      <x:c r="AC92" s="17" t="n">
        <x:f>IF(AND(A92&lt;&gt;"",M92="VERIFIED",N92="YES",H92&lt;&gt;"",H92&lt;L92,I92&lt;&gt;"UNASSESSABLE",I92&lt;&gt;"UNREVIEWED",I92&lt;&gt;"NOT_DUE"),1,0)</x:f>
        <x:v>0</x:v>
      </x:c>
      <x:c r="AD92" s="17" t="n">
        <x:f>IF(AND(AC92=1,I92="FULL"),1,0)</x:f>
        <x:v>0</x:v>
      </x:c>
      <x:c r="AE92" s="17" t="n">
        <x:f>IF(AND(AC92=1,OR(I92="FULL",J92="FULL")),1,0)</x:f>
        <x:v>0</x:v>
      </x:c>
      <x:c r="AF92" s="20"/>
    </x:row>
    <x:row r="93" ht="58" customHeight="1">
      <x:c r="A93" s="17" t="str">
        <x:v>EXE-030</x:v>
      </x:c>
      <x:c r="B93" s="17" t="str">
        <x:v>“By ~2030s, universal brain-computer interface and brain-uploading begin”【79†L692-L700】【81†L537-L541】</x:v>
      </x:c>
      <x:c r="C93" s="17" t="str">
        <x:v>Neuroscience &amp; human augmentation</x:v>
      </x:c>
      <x:c r="D93" s="17" t="str">
        <x:v>Neuroscience/AI</x:v>
      </x:c>
      <x:c r="E93" s="17" t="str">
        <x:v>*Ray Kurzweil talks/interviews (2010s–20s)*</x:v>
      </x:c>
      <x:c r="F93" s="17"/>
      <x:c r="G93" s="17" t="str">
        <x:v>2030s</x:v>
      </x:c>
      <x:c r="H93" s="20"/>
      <x:c r="I93" s="17" t="str">
        <x:v>UNREVIEWED</x:v>
      </x:c>
      <x:c r="J93" s="17" t="str">
        <x:v>UNREVIEWED</x:v>
      </x:c>
      <x:c r="K93" s="20"/>
      <x:c r="L93" s="20" t="n">
        <x:v>2026</x:v>
      </x:c>
      <x:c r="M93" s="17" t="str">
        <x:v>UNREVIEWED</x:v>
      </x:c>
      <x:c r="N93" s="17" t="str">
        <x:v>NO</x:v>
      </x:c>
      <x:c r="O93" s="17"/>
      <x:c r="P93" s="17" t="str">
        <x:v>EXE-030</x:v>
      </x:c>
      <x:c r="Q93" s="17"/>
      <x:c r="R93" s="17"/>
      <x:c r="S93" s="17"/>
      <x:c r="T93" s="17"/>
      <x:c r="U93" s="17" t="str">
        <x:v>NO</x:v>
      </x:c>
      <x:c r="V93" s="17"/>
      <x:c r="W93" s="17"/>
      <x:c r="X93" s="17" t="str">
        <x:v>Imported research lead only. Verify attribution, deadline, scope and outcome; do not inherit the legacy score. Draft category needs review.</x:v>
      </x:c>
      <x:c r="Y93" s="17" t="str">
        <x:v>EXE-030</x:v>
      </x:c>
      <x:c r="Z93" s="17" t="str">
        <x:f>IF(A93="","",IF(M93="EXCLUDED","EXCLUDED",IF(M93&lt;&gt;"VERIFIED","UNREVIEWED",IF(OR(H93="",I93="UNASSESSABLE",J93="UNASSESSABLE"),"UNSCORABLE",IF(H93&gt;=L93,IF(J93="FULL","CORRECT","PENDING"),IF(I93="FULL","CORRECT",IF(J93="FULL","LATE",IF(OR(I93="PARTIAL",J93="PARTIAL"),"PARTIAL","WRONG / MISSED"))))))))</x:f>
        <x:v>UNREVIEWED</x:v>
      </x:c>
      <x:c r="AA93" s="17" t="str">
        <x:f>IF(OR(A93="",M93&lt;&gt;"VERIFIED",H93="",K93="",J93&lt;&gt;"FULL"),"",K93-H93)</x:f>
      </x:c>
      <x:c r="AB93" s="17" t="str">
        <x:f>IF(OR(A93="",M93&lt;&gt;"VERIFIED",H93="",H93&gt;=L93,J93="FULL",J93="UNASSESSABLE"),"",L93-H93)</x:f>
      </x:c>
      <x:c r="AC93" s="17" t="n">
        <x:f>IF(AND(A93&lt;&gt;"",M93="VERIFIED",N93="YES",H93&lt;&gt;"",H93&lt;L93,I93&lt;&gt;"UNASSESSABLE",I93&lt;&gt;"UNREVIEWED",I93&lt;&gt;"NOT_DUE"),1,0)</x:f>
        <x:v>0</x:v>
      </x:c>
      <x:c r="AD93" s="17" t="n">
        <x:f>IF(AND(AC93=1,I93="FULL"),1,0)</x:f>
        <x:v>0</x:v>
      </x:c>
      <x:c r="AE93" s="17" t="n">
        <x:f>IF(AND(AC93=1,OR(I93="FULL",J93="FULL")),1,0)</x:f>
        <x:v>0</x:v>
      </x:c>
      <x:c r="AF93" s="20"/>
    </x:row>
    <x:row r="94">
      <x:c r="H94" s="21"/>
      <x:c r="K94" s="21"/>
      <x:c r="L94" s="21"/>
      <x:c r="Z94" t="str">
        <x:f>IF(A94="","",IF(M94="EXCLUDED","EXCLUDED",IF(M94&lt;&gt;"VERIFIED","UNREVIEWED",IF(OR(H94="",I94="UNASSESSABLE",J94="UNASSESSABLE"),"UNSCORABLE",IF(H94&gt;=L94,IF(J94="FULL","CORRECT","PENDING"),IF(I94="FULL","CORRECT",IF(J94="FULL","LATE",IF(OR(I94="PARTIAL",J94="PARTIAL"),"PARTIAL","WRONG / MISSED"))))))))</x:f>
      </x:c>
      <x:c r="AA94" t="str">
        <x:f>IF(OR(A94="",M94&lt;&gt;"VERIFIED",H94="",K94="",J94&lt;&gt;"FULL"),"",K94-H94)</x:f>
      </x:c>
      <x:c r="AB94" t="str">
        <x:f>IF(OR(A94="",M94&lt;&gt;"VERIFIED",H94="",H94&gt;=L94,J94="FULL",J94="UNASSESSABLE"),"",L94-H94)</x:f>
      </x:c>
      <x:c r="AC94" t="n">
        <x:f>IF(AND(A94&lt;&gt;"",M94="VERIFIED",N94="YES",H94&lt;&gt;"",H94&lt;L94,I94&lt;&gt;"UNASSESSABLE",I94&lt;&gt;"UNREVIEWED",I94&lt;&gt;"NOT_DUE"),1,0)</x:f>
        <x:v>0</x:v>
      </x:c>
      <x:c r="AD94" t="n">
        <x:f>IF(AND(AC94=1,I94="FULL"),1,0)</x:f>
        <x:v>0</x:v>
      </x:c>
      <x:c r="AE94" t="n">
        <x:f>IF(AND(AC94=1,OR(I94="FULL",J94="FULL")),1,0)</x:f>
        <x:v>0</x:v>
      </x:c>
      <x:c r="AF94" s="21"/>
    </x:row>
    <x:row r="95">
      <x:c r="H95" s="21"/>
      <x:c r="K95" s="21"/>
      <x:c r="L95" s="21"/>
      <x:c r="Z95" t="str">
        <x:f>IF(A95="","",IF(M95="EXCLUDED","EXCLUDED",IF(M95&lt;&gt;"VERIFIED","UNREVIEWED",IF(OR(H95="",I95="UNASSESSABLE",J95="UNASSESSABLE"),"UNSCORABLE",IF(H95&gt;=L95,IF(J95="FULL","CORRECT","PENDING"),IF(I95="FULL","CORRECT",IF(J95="FULL","LATE",IF(OR(I95="PARTIAL",J95="PARTIAL"),"PARTIAL","WRONG / MISSED"))))))))</x:f>
      </x:c>
      <x:c r="AA95" t="str">
        <x:f>IF(OR(A95="",M95&lt;&gt;"VERIFIED",H95="",K95="",J95&lt;&gt;"FULL"),"",K95-H95)</x:f>
      </x:c>
      <x:c r="AB95" t="str">
        <x:f>IF(OR(A95="",M95&lt;&gt;"VERIFIED",H95="",H95&gt;=L95,J95="FULL",J95="UNASSESSABLE"),"",L95-H95)</x:f>
      </x:c>
      <x:c r="AC95" t="n">
        <x:f>IF(AND(A95&lt;&gt;"",M95="VERIFIED",N95="YES",H95&lt;&gt;"",H95&lt;L95,I95&lt;&gt;"UNASSESSABLE",I95&lt;&gt;"UNREVIEWED",I95&lt;&gt;"NOT_DUE"),1,0)</x:f>
        <x:v>0</x:v>
      </x:c>
      <x:c r="AD95" t="n">
        <x:f>IF(AND(AC95=1,I95="FULL"),1,0)</x:f>
        <x:v>0</x:v>
      </x:c>
      <x:c r="AE95" t="n">
        <x:f>IF(AND(AC95=1,OR(I95="FULL",J95="FULL")),1,0)</x:f>
        <x:v>0</x:v>
      </x:c>
      <x:c r="AF95" s="21"/>
    </x:row>
    <x:row r="96">
      <x:c r="H96" s="21"/>
      <x:c r="K96" s="21"/>
      <x:c r="L96" s="21"/>
      <x:c r="Z96" t="str">
        <x:f>IF(A96="","",IF(M96="EXCLUDED","EXCLUDED",IF(M96&lt;&gt;"VERIFIED","UNREVIEWED",IF(OR(H96="",I96="UNASSESSABLE",J96="UNASSESSABLE"),"UNSCORABLE",IF(H96&gt;=L96,IF(J96="FULL","CORRECT","PENDING"),IF(I96="FULL","CORRECT",IF(J96="FULL","LATE",IF(OR(I96="PARTIAL",J96="PARTIAL"),"PARTIAL","WRONG / MISSED"))))))))</x:f>
      </x:c>
      <x:c r="AA96" t="str">
        <x:f>IF(OR(A96="",M96&lt;&gt;"VERIFIED",H96="",K96="",J96&lt;&gt;"FULL"),"",K96-H96)</x:f>
      </x:c>
      <x:c r="AB96" t="str">
        <x:f>IF(OR(A96="",M96&lt;&gt;"VERIFIED",H96="",H96&gt;=L96,J96="FULL",J96="UNASSESSABLE"),"",L96-H96)</x:f>
      </x:c>
      <x:c r="AC96" t="n">
        <x:f>IF(AND(A96&lt;&gt;"",M96="VERIFIED",N96="YES",H96&lt;&gt;"",H96&lt;L96,I96&lt;&gt;"UNASSESSABLE",I96&lt;&gt;"UNREVIEWED",I96&lt;&gt;"NOT_DUE"),1,0)</x:f>
        <x:v>0</x:v>
      </x:c>
      <x:c r="AD96" t="n">
        <x:f>IF(AND(AC96=1,I96="FULL"),1,0)</x:f>
        <x:v>0</x:v>
      </x:c>
      <x:c r="AE96" t="n">
        <x:f>IF(AND(AC96=1,OR(I96="FULL",J96="FULL")),1,0)</x:f>
        <x:v>0</x:v>
      </x:c>
      <x:c r="AF96" s="21"/>
    </x:row>
    <x:row r="97">
      <x:c r="H97" s="21"/>
      <x:c r="K97" s="21"/>
      <x:c r="L97" s="21"/>
      <x:c r="Z97" t="str">
        <x:f>IF(A97="","",IF(M97="EXCLUDED","EXCLUDED",IF(M97&lt;&gt;"VERIFIED","UNREVIEWED",IF(OR(H97="",I97="UNASSESSABLE",J97="UNASSESSABLE"),"UNSCORABLE",IF(H97&gt;=L97,IF(J97="FULL","CORRECT","PENDING"),IF(I97="FULL","CORRECT",IF(J97="FULL","LATE",IF(OR(I97="PARTIAL",J97="PARTIAL"),"PARTIAL","WRONG / MISSED"))))))))</x:f>
      </x:c>
      <x:c r="AA97" t="str">
        <x:f>IF(OR(A97="",M97&lt;&gt;"VERIFIED",H97="",K97="",J97&lt;&gt;"FULL"),"",K97-H97)</x:f>
      </x:c>
      <x:c r="AB97" t="str">
        <x:f>IF(OR(A97="",M97&lt;&gt;"VERIFIED",H97="",H97&gt;=L97,J97="FULL",J97="UNASSESSABLE"),"",L97-H97)</x:f>
      </x:c>
      <x:c r="AC97" t="n">
        <x:f>IF(AND(A97&lt;&gt;"",M97="VERIFIED",N97="YES",H97&lt;&gt;"",H97&lt;L97,I97&lt;&gt;"UNASSESSABLE",I97&lt;&gt;"UNREVIEWED",I97&lt;&gt;"NOT_DUE"),1,0)</x:f>
        <x:v>0</x:v>
      </x:c>
      <x:c r="AD97" t="n">
        <x:f>IF(AND(AC97=1,I97="FULL"),1,0)</x:f>
        <x:v>0</x:v>
      </x:c>
      <x:c r="AE97" t="n">
        <x:f>IF(AND(AC97=1,OR(I97="FULL",J97="FULL")),1,0)</x:f>
        <x:v>0</x:v>
      </x:c>
      <x:c r="AF97" s="21"/>
    </x:row>
    <x:row r="98">
      <x:c r="H98" s="21"/>
      <x:c r="K98" s="21"/>
      <x:c r="L98" s="21"/>
      <x:c r="Z98" t="str">
        <x:f>IF(A98="","",IF(M98="EXCLUDED","EXCLUDED",IF(M98&lt;&gt;"VERIFIED","UNREVIEWED",IF(OR(H98="",I98="UNASSESSABLE",J98="UNASSESSABLE"),"UNSCORABLE",IF(H98&gt;=L98,IF(J98="FULL","CORRECT","PENDING"),IF(I98="FULL","CORRECT",IF(J98="FULL","LATE",IF(OR(I98="PARTIAL",J98="PARTIAL"),"PARTIAL","WRONG / MISSED"))))))))</x:f>
      </x:c>
      <x:c r="AA98" t="str">
        <x:f>IF(OR(A98="",M98&lt;&gt;"VERIFIED",H98="",K98="",J98&lt;&gt;"FULL"),"",K98-H98)</x:f>
      </x:c>
      <x:c r="AB98" t="str">
        <x:f>IF(OR(A98="",M98&lt;&gt;"VERIFIED",H98="",H98&gt;=L98,J98="FULL",J98="UNASSESSABLE"),"",L98-H98)</x:f>
      </x:c>
      <x:c r="AC98" t="n">
        <x:f>IF(AND(A98&lt;&gt;"",M98="VERIFIED",N98="YES",H98&lt;&gt;"",H98&lt;L98,I98&lt;&gt;"UNASSESSABLE",I98&lt;&gt;"UNREVIEWED",I98&lt;&gt;"NOT_DUE"),1,0)</x:f>
        <x:v>0</x:v>
      </x:c>
      <x:c r="AD98" t="n">
        <x:f>IF(AND(AC98=1,I98="FULL"),1,0)</x:f>
        <x:v>0</x:v>
      </x:c>
      <x:c r="AE98" t="n">
        <x:f>IF(AND(AC98=1,OR(I98="FULL",J98="FULL")),1,0)</x:f>
        <x:v>0</x:v>
      </x:c>
      <x:c r="AF98" s="21"/>
    </x:row>
    <x:row r="99">
      <x:c r="H99" s="21"/>
      <x:c r="K99" s="21"/>
      <x:c r="L99" s="21"/>
      <x:c r="Z99" t="str">
        <x:f>IF(A99="","",IF(M99="EXCLUDED","EXCLUDED",IF(M99&lt;&gt;"VERIFIED","UNREVIEWED",IF(OR(H99="",I99="UNASSESSABLE",J99="UNASSESSABLE"),"UNSCORABLE",IF(H99&gt;=L99,IF(J99="FULL","CORRECT","PENDING"),IF(I99="FULL","CORRECT",IF(J99="FULL","LATE",IF(OR(I99="PARTIAL",J99="PARTIAL"),"PARTIAL","WRONG / MISSED"))))))))</x:f>
      </x:c>
      <x:c r="AA99" t="str">
        <x:f>IF(OR(A99="",M99&lt;&gt;"VERIFIED",H99="",K99="",J99&lt;&gt;"FULL"),"",K99-H99)</x:f>
      </x:c>
      <x:c r="AB99" t="str">
        <x:f>IF(OR(A99="",M99&lt;&gt;"VERIFIED",H99="",H99&gt;=L99,J99="FULL",J99="UNASSESSABLE"),"",L99-H99)</x:f>
      </x:c>
      <x:c r="AC99" t="n">
        <x:f>IF(AND(A99&lt;&gt;"",M99="VERIFIED",N99="YES",H99&lt;&gt;"",H99&lt;L99,I99&lt;&gt;"UNASSESSABLE",I99&lt;&gt;"UNREVIEWED",I99&lt;&gt;"NOT_DUE"),1,0)</x:f>
        <x:v>0</x:v>
      </x:c>
      <x:c r="AD99" t="n">
        <x:f>IF(AND(AC99=1,I99="FULL"),1,0)</x:f>
        <x:v>0</x:v>
      </x:c>
      <x:c r="AE99" t="n">
        <x:f>IF(AND(AC99=1,OR(I99="FULL",J99="FULL")),1,0)</x:f>
        <x:v>0</x:v>
      </x:c>
      <x:c r="AF99" s="21"/>
    </x:row>
    <x:row r="100">
      <x:c r="A100"/>
      <x:c r="B100"/>
      <x:c r="C100"/>
      <x:c r="D100"/>
      <x:c r="E100"/>
      <x:c r="F100"/>
      <x:c r="G100"/>
      <x:c r="H100" s="21"/>
      <x:c r="I100"/>
      <x:c r="J100"/>
      <x:c r="K100" s="21"/>
      <x:c r="L100" s="21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 t="str">
        <x:f>IF(A100="","",IF(M100="EXCLUDED","EXCLUDED",IF(M100&lt;&gt;"VERIFIED","UNREVIEWED",IF(OR(H100="",I100="UNASSESSABLE",J100="UNASSESSABLE"),"UNSCORABLE",IF(H100&gt;=L100,IF(J100="FULL","CORRECT","PENDING"),IF(I100="FULL","CORRECT",IF(J100="FULL","LATE",IF(OR(I100="PARTIAL",J100="PARTIAL"),"PARTIAL","WRONG / MISSED"))))))))</x:f>
      </x:c>
      <x:c r="AA100" t="str">
        <x:f>IF(OR(A100="",M100&lt;&gt;"VERIFIED",H100="",K100="",J100&lt;&gt;"FULL"),"",K100-H100)</x:f>
      </x:c>
      <x:c r="AB100" t="str">
        <x:f>IF(OR(A100="",M100&lt;&gt;"VERIFIED",H100="",H100&gt;=L100,J100="FULL",J100="UNASSESSABLE"),"",L100-H100)</x:f>
      </x:c>
      <x:c r="AC100" t="n">
        <x:f>IF(AND(A100&lt;&gt;"",M100="VERIFIED",N100="YES",H100&lt;&gt;"",H100&lt;L100,I100&lt;&gt;"UNASSESSABLE",I100&lt;&gt;"UNREVIEWED",I100&lt;&gt;"NOT_DUE"),1,0)</x:f>
        <x:v>0</x:v>
      </x:c>
      <x:c r="AD100" t="n">
        <x:f>IF(AND(AC100=1,I100="FULL"),1,0)</x:f>
        <x:v>0</x:v>
      </x:c>
      <x:c r="AE100" t="n">
        <x:f>IF(AND(AC100=1,OR(I100="FULL",J100="FULL")),1,0)</x:f>
        <x:v>0</x:v>
      </x:c>
      <x:c r="AF100" s="21"/>
    </x:row>
    <x:row r="101">
      <x:c r="A101"/>
      <x:c r="B101"/>
      <x:c r="C101"/>
      <x:c r="D101"/>
      <x:c r="E101"/>
      <x:c r="F101"/>
      <x:c r="G101"/>
      <x:c r="H101" s="21"/>
      <x:c r="I101"/>
      <x:c r="J101"/>
      <x:c r="K101" s="21"/>
      <x:c r="L101" s="2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 t="str">
        <x:f>IF(A101="","",IF(M101="EXCLUDED","EXCLUDED",IF(M101&lt;&gt;"VERIFIED","UNREVIEWED",IF(OR(H101="",I101="UNASSESSABLE",J101="UNASSESSABLE"),"UNSCORABLE",IF(H101&gt;=L101,IF(J101="FULL","CORRECT","PENDING"),IF(I101="FULL","CORRECT",IF(J101="FULL","LATE",IF(OR(I101="PARTIAL",J101="PARTIAL"),"PARTIAL","WRONG / MISSED"))))))))</x:f>
      </x:c>
      <x:c r="AA101" t="str">
        <x:f>IF(OR(A101="",M101&lt;&gt;"VERIFIED",H101="",K101="",J101&lt;&gt;"FULL"),"",K101-H101)</x:f>
      </x:c>
      <x:c r="AB101" t="str">
        <x:f>IF(OR(A101="",M101&lt;&gt;"VERIFIED",H101="",H101&gt;=L101,J101="FULL",J101="UNASSESSABLE"),"",L101-H101)</x:f>
      </x:c>
      <x:c r="AC101" t="n">
        <x:f>IF(AND(A101&lt;&gt;"",M101="VERIFIED",N101="YES",H101&lt;&gt;"",H101&lt;L101,I101&lt;&gt;"UNASSESSABLE",I101&lt;&gt;"UNREVIEWED",I101&lt;&gt;"NOT_DUE"),1,0)</x:f>
        <x:v>0</x:v>
      </x:c>
      <x:c r="AD101" t="n">
        <x:f>IF(AND(AC101=1,I101="FULL"),1,0)</x:f>
        <x:v>0</x:v>
      </x:c>
      <x:c r="AE101" t="n">
        <x:f>IF(AND(AC101=1,OR(I101="FULL",J101="FULL")),1,0)</x:f>
        <x:v>0</x:v>
      </x:c>
      <x:c r="AF101" s="21"/>
    </x:row>
    <x:row r="102">
      <x:c r="A102"/>
      <x:c r="B102"/>
      <x:c r="C102"/>
      <x:c r="D102"/>
      <x:c r="E102"/>
      <x:c r="F102"/>
      <x:c r="G102"/>
      <x:c r="H102" s="21"/>
      <x:c r="I102"/>
      <x:c r="J102"/>
      <x:c r="K102" s="21"/>
      <x:c r="L102" s="21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 t="str">
        <x:f>IF(A102="","",IF(M102="EXCLUDED","EXCLUDED",IF(M102&lt;&gt;"VERIFIED","UNREVIEWED",IF(OR(H102="",I102="UNASSESSABLE",J102="UNASSESSABLE"),"UNSCORABLE",IF(H102&gt;=L102,IF(J102="FULL","CORRECT","PENDING"),IF(I102="FULL","CORRECT",IF(J102="FULL","LATE",IF(OR(I102="PARTIAL",J102="PARTIAL"),"PARTIAL","WRONG / MISSED"))))))))</x:f>
      </x:c>
      <x:c r="AA102" t="str">
        <x:f>IF(OR(A102="",M102&lt;&gt;"VERIFIED",H102="",K102="",J102&lt;&gt;"FULL"),"",K102-H102)</x:f>
      </x:c>
      <x:c r="AB102" t="str">
        <x:f>IF(OR(A102="",M102&lt;&gt;"VERIFIED",H102="",H102&gt;=L102,J102="FULL",J102="UNASSESSABLE"),"",L102-H102)</x:f>
      </x:c>
      <x:c r="AC102" t="n">
        <x:f>IF(AND(A102&lt;&gt;"",M102="VERIFIED",N102="YES",H102&lt;&gt;"",H102&lt;L102,I102&lt;&gt;"UNASSESSABLE",I102&lt;&gt;"UNREVIEWED",I102&lt;&gt;"NOT_DUE"),1,0)</x:f>
        <x:v>0</x:v>
      </x:c>
      <x:c r="AD102" t="n">
        <x:f>IF(AND(AC102=1,I102="FULL"),1,0)</x:f>
        <x:v>0</x:v>
      </x:c>
      <x:c r="AE102" t="n">
        <x:f>IF(AND(AC102=1,OR(I102="FULL",J102="FULL")),1,0)</x:f>
        <x:v>0</x:v>
      </x:c>
      <x:c r="AF102" s="21"/>
    </x:row>
    <x:row r="103">
      <x:c r="A103"/>
      <x:c r="B103"/>
      <x:c r="C103"/>
      <x:c r="D103"/>
      <x:c r="E103"/>
      <x:c r="F103"/>
      <x:c r="G103"/>
      <x:c r="H103" s="21"/>
      <x:c r="I103"/>
      <x:c r="J103"/>
      <x:c r="K103" s="21"/>
      <x:c r="L103" s="21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 t="str">
        <x:f>IF(A103="","",IF(M103="EXCLUDED","EXCLUDED",IF(M103&lt;&gt;"VERIFIED","UNREVIEWED",IF(OR(H103="",I103="UNASSESSABLE",J103="UNASSESSABLE"),"UNSCORABLE",IF(H103&gt;=L103,IF(J103="FULL","CORRECT","PENDING"),IF(I103="FULL","CORRECT",IF(J103="FULL","LATE",IF(OR(I103="PARTIAL",J103="PARTIAL"),"PARTIAL","WRONG / MISSED"))))))))</x:f>
      </x:c>
      <x:c r="AA103" t="str">
        <x:f>IF(OR(A103="",M103&lt;&gt;"VERIFIED",H103="",K103="",J103&lt;&gt;"FULL"),"",K103-H103)</x:f>
      </x:c>
      <x:c r="AB103" t="str">
        <x:f>IF(OR(A103="",M103&lt;&gt;"VERIFIED",H103="",H103&gt;=L103,J103="FULL",J103="UNASSESSABLE"),"",L103-H103)</x:f>
      </x:c>
      <x:c r="AC103" t="n">
        <x:f>IF(AND(A103&lt;&gt;"",M103="VERIFIED",N103="YES",H103&lt;&gt;"",H103&lt;L103,I103&lt;&gt;"UNASSESSABLE",I103&lt;&gt;"UNREVIEWED",I103&lt;&gt;"NOT_DUE"),1,0)</x:f>
        <x:v>0</x:v>
      </x:c>
      <x:c r="AD103" t="n">
        <x:f>IF(AND(AC103=1,I103="FULL"),1,0)</x:f>
        <x:v>0</x:v>
      </x:c>
      <x:c r="AE103" t="n">
        <x:f>IF(AND(AC103=1,OR(I103="FULL",J103="FULL")),1,0)</x:f>
        <x:v>0</x:v>
      </x:c>
      <x:c r="AF103" s="21"/>
    </x:row>
    <x:row r="104">
      <x:c r="A104"/>
      <x:c r="B104"/>
      <x:c r="C104"/>
      <x:c r="D104"/>
      <x:c r="E104"/>
      <x:c r="F104"/>
      <x:c r="G104"/>
      <x:c r="H104" s="21"/>
      <x:c r="I104"/>
      <x:c r="J104"/>
      <x:c r="K104" s="21"/>
      <x:c r="L104" s="21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 t="str">
        <x:f>IF(A104="","",IF(M104="EXCLUDED","EXCLUDED",IF(M104&lt;&gt;"VERIFIED","UNREVIEWED",IF(OR(H104="",I104="UNASSESSABLE",J104="UNASSESSABLE"),"UNSCORABLE",IF(H104&gt;=L104,IF(J104="FULL","CORRECT","PENDING"),IF(I104="FULL","CORRECT",IF(J104="FULL","LATE",IF(OR(I104="PARTIAL",J104="PARTIAL"),"PARTIAL","WRONG / MISSED"))))))))</x:f>
      </x:c>
      <x:c r="AA104" t="str">
        <x:f>IF(OR(A104="",M104&lt;&gt;"VERIFIED",H104="",K104="",J104&lt;&gt;"FULL"),"",K104-H104)</x:f>
      </x:c>
      <x:c r="AB104" t="str">
        <x:f>IF(OR(A104="",M104&lt;&gt;"VERIFIED",H104="",H104&gt;=L104,J104="FULL",J104="UNASSESSABLE"),"",L104-H104)</x:f>
      </x:c>
      <x:c r="AC104" t="n">
        <x:f>IF(AND(A104&lt;&gt;"",M104="VERIFIED",N104="YES",H104&lt;&gt;"",H104&lt;L104,I104&lt;&gt;"UNASSESSABLE",I104&lt;&gt;"UNREVIEWED",I104&lt;&gt;"NOT_DUE"),1,0)</x:f>
        <x:v>0</x:v>
      </x:c>
      <x:c r="AD104" t="n">
        <x:f>IF(AND(AC104=1,I104="FULL"),1,0)</x:f>
        <x:v>0</x:v>
      </x:c>
      <x:c r="AE104" t="n">
        <x:f>IF(AND(AC104=1,OR(I104="FULL",J104="FULL")),1,0)</x:f>
        <x:v>0</x:v>
      </x:c>
      <x:c r="AF104" s="21"/>
    </x:row>
    <x:row r="105">
      <x:c r="A105"/>
      <x:c r="B105"/>
      <x:c r="C105"/>
      <x:c r="D105"/>
      <x:c r="E105"/>
      <x:c r="F105"/>
      <x:c r="G105"/>
      <x:c r="H105" s="21"/>
      <x:c r="I105"/>
      <x:c r="J105"/>
      <x:c r="K105" s="21"/>
      <x:c r="L105" s="21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 t="str">
        <x:f>IF(A105="","",IF(M105="EXCLUDED","EXCLUDED",IF(M105&lt;&gt;"VERIFIED","UNREVIEWED",IF(OR(H105="",I105="UNASSESSABLE",J105="UNASSESSABLE"),"UNSCORABLE",IF(H105&gt;=L105,IF(J105="FULL","CORRECT","PENDING"),IF(I105="FULL","CORRECT",IF(J105="FULL","LATE",IF(OR(I105="PARTIAL",J105="PARTIAL"),"PARTIAL","WRONG / MISSED"))))))))</x:f>
      </x:c>
      <x:c r="AA105" t="str">
        <x:f>IF(OR(A105="",M105&lt;&gt;"VERIFIED",H105="",K105="",J105&lt;&gt;"FULL"),"",K105-H105)</x:f>
      </x:c>
      <x:c r="AB105" t="str">
        <x:f>IF(OR(A105="",M105&lt;&gt;"VERIFIED",H105="",H105&gt;=L105,J105="FULL",J105="UNASSESSABLE"),"",L105-H105)</x:f>
      </x:c>
      <x:c r="AC105" t="n">
        <x:f>IF(AND(A105&lt;&gt;"",M105="VERIFIED",N105="YES",H105&lt;&gt;"",H105&lt;L105,I105&lt;&gt;"UNASSESSABLE",I105&lt;&gt;"UNREVIEWED",I105&lt;&gt;"NOT_DUE"),1,0)</x:f>
        <x:v>0</x:v>
      </x:c>
      <x:c r="AD105" t="n">
        <x:f>IF(AND(AC105=1,I105="FULL"),1,0)</x:f>
        <x:v>0</x:v>
      </x:c>
      <x:c r="AE105" t="n">
        <x:f>IF(AND(AC105=1,OR(I105="FULL",J105="FULL")),1,0)</x:f>
        <x:v>0</x:v>
      </x:c>
      <x:c r="AF105" s="21"/>
    </x:row>
    <x:row r="106">
      <x:c r="A106"/>
      <x:c r="B106"/>
      <x:c r="C106"/>
      <x:c r="D106"/>
      <x:c r="E106"/>
      <x:c r="F106"/>
      <x:c r="G106"/>
      <x:c r="H106" s="21"/>
      <x:c r="I106"/>
      <x:c r="J106"/>
      <x:c r="K106" s="21"/>
      <x:c r="L106" s="21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 t="str">
        <x:f>IF(A106="","",IF(M106="EXCLUDED","EXCLUDED",IF(M106&lt;&gt;"VERIFIED","UNREVIEWED",IF(OR(H106="",I106="UNASSESSABLE",J106="UNASSESSABLE"),"UNSCORABLE",IF(H106&gt;=L106,IF(J106="FULL","CORRECT","PENDING"),IF(I106="FULL","CORRECT",IF(J106="FULL","LATE",IF(OR(I106="PARTIAL",J106="PARTIAL"),"PARTIAL","WRONG / MISSED"))))))))</x:f>
      </x:c>
      <x:c r="AA106" t="str">
        <x:f>IF(OR(A106="",M106&lt;&gt;"VERIFIED",H106="",K106="",J106&lt;&gt;"FULL"),"",K106-H106)</x:f>
      </x:c>
      <x:c r="AB106" t="str">
        <x:f>IF(OR(A106="",M106&lt;&gt;"VERIFIED",H106="",H106&gt;=L106,J106="FULL",J106="UNASSESSABLE"),"",L106-H106)</x:f>
      </x:c>
      <x:c r="AC106" t="n">
        <x:f>IF(AND(A106&lt;&gt;"",M106="VERIFIED",N106="YES",H106&lt;&gt;"",H106&lt;L106,I106&lt;&gt;"UNASSESSABLE",I106&lt;&gt;"UNREVIEWED",I106&lt;&gt;"NOT_DUE"),1,0)</x:f>
        <x:v>0</x:v>
      </x:c>
      <x:c r="AD106" t="n">
        <x:f>IF(AND(AC106=1,I106="FULL"),1,0)</x:f>
        <x:v>0</x:v>
      </x:c>
      <x:c r="AE106" t="n">
        <x:f>IF(AND(AC106=1,OR(I106="FULL",J106="FULL")),1,0)</x:f>
        <x:v>0</x:v>
      </x:c>
      <x:c r="AF106" s="21"/>
    </x:row>
    <x:row r="107">
      <x:c r="A107"/>
      <x:c r="B107"/>
      <x:c r="C107"/>
      <x:c r="D107"/>
      <x:c r="E107"/>
      <x:c r="F107"/>
      <x:c r="G107"/>
      <x:c r="H107" s="21"/>
      <x:c r="I107"/>
      <x:c r="J107"/>
      <x:c r="K107" s="21"/>
      <x:c r="L107" s="21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 t="str">
        <x:f>IF(A107="","",IF(M107="EXCLUDED","EXCLUDED",IF(M107&lt;&gt;"VERIFIED","UNREVIEWED",IF(OR(H107="",I107="UNASSESSABLE",J107="UNASSESSABLE"),"UNSCORABLE",IF(H107&gt;=L107,IF(J107="FULL","CORRECT","PENDING"),IF(I107="FULL","CORRECT",IF(J107="FULL","LATE",IF(OR(I107="PARTIAL",J107="PARTIAL"),"PARTIAL","WRONG / MISSED"))))))))</x:f>
      </x:c>
      <x:c r="AA107" t="str">
        <x:f>IF(OR(A107="",M107&lt;&gt;"VERIFIED",H107="",K107="",J107&lt;&gt;"FULL"),"",K107-H107)</x:f>
      </x:c>
      <x:c r="AB107" t="str">
        <x:f>IF(OR(A107="",M107&lt;&gt;"VERIFIED",H107="",H107&gt;=L107,J107="FULL",J107="UNASSESSABLE"),"",L107-H107)</x:f>
      </x:c>
      <x:c r="AC107" t="n">
        <x:f>IF(AND(A107&lt;&gt;"",M107="VERIFIED",N107="YES",H107&lt;&gt;"",H107&lt;L107,I107&lt;&gt;"UNASSESSABLE",I107&lt;&gt;"UNREVIEWED",I107&lt;&gt;"NOT_DUE"),1,0)</x:f>
        <x:v>0</x:v>
      </x:c>
      <x:c r="AD107" t="n">
        <x:f>IF(AND(AC107=1,I107="FULL"),1,0)</x:f>
        <x:v>0</x:v>
      </x:c>
      <x:c r="AE107" t="n">
        <x:f>IF(AND(AC107=1,OR(I107="FULL",J107="FULL")),1,0)</x:f>
        <x:v>0</x:v>
      </x:c>
      <x:c r="AF107" s="21"/>
    </x:row>
    <x:row r="108">
      <x:c r="H108" s="21"/>
      <x:c r="K108" s="21"/>
      <x:c r="L108" s="21"/>
      <x:c r="Z108" t="str">
        <x:f>IF(A108="","",IF(M108="EXCLUDED","EXCLUDED",IF(M108&lt;&gt;"VERIFIED","UNREVIEWED",IF(OR(H108="",I108="UNASSESSABLE",J108="UNASSESSABLE"),"UNSCORABLE",IF(H108&gt;=L108,IF(J108="FULL","CORRECT","PENDING"),IF(I108="FULL","CORRECT",IF(J108="FULL","LATE",IF(OR(I108="PARTIAL",J108="PARTIAL"),"PARTIAL","WRONG / MISSED"))))))))</x:f>
      </x:c>
      <x:c r="AA108" t="str">
        <x:f>IF(OR(A108="",M108&lt;&gt;"VERIFIED",H108="",K108="",J108&lt;&gt;"FULL"),"",K108-H108)</x:f>
      </x:c>
      <x:c r="AB108" t="str">
        <x:f>IF(OR(A108="",M108&lt;&gt;"VERIFIED",H108="",H108&gt;=L108,J108="FULL",J108="UNASSESSABLE"),"",L108-H108)</x:f>
      </x:c>
      <x:c r="AC108" t="n">
        <x:f>IF(AND(A108&lt;&gt;"",M108="VERIFIED",N108="YES",H108&lt;&gt;"",H108&lt;L108,I108&lt;&gt;"UNASSESSABLE",I108&lt;&gt;"UNREVIEWED",I108&lt;&gt;"NOT_DUE"),1,0)</x:f>
        <x:v>0</x:v>
      </x:c>
      <x:c r="AD108" t="n">
        <x:f>IF(AND(AC108=1,I108="FULL"),1,0)</x:f>
        <x:v>0</x:v>
      </x:c>
      <x:c r="AE108" t="n">
        <x:f>IF(AND(AC108=1,OR(I108="FULL",J108="FULL")),1,0)</x:f>
        <x:v>0</x:v>
      </x:c>
      <x:c r="AF108" s="21"/>
    </x:row>
    <x:row r="109">
      <x:c r="H109" s="21"/>
      <x:c r="K109" s="21"/>
      <x:c r="L109" s="21"/>
      <x:c r="Z109" t="str">
        <x:f>IF(A109="","",IF(M109="EXCLUDED","EXCLUDED",IF(M109&lt;&gt;"VERIFIED","UNREVIEWED",IF(OR(H109="",I109="UNASSESSABLE",J109="UNASSESSABLE"),"UNSCORABLE",IF(H109&gt;=L109,IF(J109="FULL","CORRECT","PENDING"),IF(I109="FULL","CORRECT",IF(J109="FULL","LATE",IF(OR(I109="PARTIAL",J109="PARTIAL"),"PARTIAL","WRONG / MISSED"))))))))</x:f>
      </x:c>
      <x:c r="AA109" t="str">
        <x:f>IF(OR(A109="",M109&lt;&gt;"VERIFIED",H109="",K109="",J109&lt;&gt;"FULL"),"",K109-H109)</x:f>
      </x:c>
      <x:c r="AB109" t="str">
        <x:f>IF(OR(A109="",M109&lt;&gt;"VERIFIED",H109="",H109&gt;=L109,J109="FULL",J109="UNASSESSABLE"),"",L109-H109)</x:f>
      </x:c>
      <x:c r="AC109" t="n">
        <x:f>IF(AND(A109&lt;&gt;"",M109="VERIFIED",N109="YES",H109&lt;&gt;"",H109&lt;L109,I109&lt;&gt;"UNASSESSABLE",I109&lt;&gt;"UNREVIEWED",I109&lt;&gt;"NOT_DUE"),1,0)</x:f>
        <x:v>0</x:v>
      </x:c>
      <x:c r="AD109" t="n">
        <x:f>IF(AND(AC109=1,I109="FULL"),1,0)</x:f>
        <x:v>0</x:v>
      </x:c>
      <x:c r="AE109" t="n">
        <x:f>IF(AND(AC109=1,OR(I109="FULL",J109="FULL")),1,0)</x:f>
        <x:v>0</x:v>
      </x:c>
      <x:c r="AF109" s="21"/>
    </x:row>
    <x:row r="110">
      <x:c r="H110" s="21"/>
      <x:c r="K110" s="21"/>
      <x:c r="L110" s="21"/>
      <x:c r="Z110" t="str">
        <x:f>IF(A110="","",IF(M110="EXCLUDED","EXCLUDED",IF(M110&lt;&gt;"VERIFIED","UNREVIEWED",IF(OR(H110="",I110="UNASSESSABLE",J110="UNASSESSABLE"),"UNSCORABLE",IF(H110&gt;=L110,IF(J110="FULL","CORRECT","PENDING"),IF(I110="FULL","CORRECT",IF(J110="FULL","LATE",IF(OR(I110="PARTIAL",J110="PARTIAL"),"PARTIAL","WRONG / MISSED"))))))))</x:f>
      </x:c>
      <x:c r="AA110" t="str">
        <x:f>IF(OR(A110="",M110&lt;&gt;"VERIFIED",H110="",K110="",J110&lt;&gt;"FULL"),"",K110-H110)</x:f>
      </x:c>
      <x:c r="AB110" t="str">
        <x:f>IF(OR(A110="",M110&lt;&gt;"VERIFIED",H110="",H110&gt;=L110,J110="FULL",J110="UNASSESSABLE"),"",L110-H110)</x:f>
      </x:c>
      <x:c r="AC110" t="n">
        <x:f>IF(AND(A110&lt;&gt;"",M110="VERIFIED",N110="YES",H110&lt;&gt;"",H110&lt;L110,I110&lt;&gt;"UNASSESSABLE",I110&lt;&gt;"UNREVIEWED",I110&lt;&gt;"NOT_DUE"),1,0)</x:f>
        <x:v>0</x:v>
      </x:c>
      <x:c r="AD110" t="n">
        <x:f>IF(AND(AC110=1,I110="FULL"),1,0)</x:f>
        <x:v>0</x:v>
      </x:c>
      <x:c r="AE110" t="n">
        <x:f>IF(AND(AC110=1,OR(I110="FULL",J110="FULL")),1,0)</x:f>
        <x:v>0</x:v>
      </x:c>
      <x:c r="AF110" s="21"/>
    </x:row>
    <x:row r="111">
      <x:c r="H111" s="21"/>
      <x:c r="K111" s="21"/>
      <x:c r="L111" s="21"/>
      <x:c r="Z111" t="str">
        <x:f>IF(A111="","",IF(M111="EXCLUDED","EXCLUDED",IF(M111&lt;&gt;"VERIFIED","UNREVIEWED",IF(OR(H111="",I111="UNASSESSABLE",J111="UNASSESSABLE"),"UNSCORABLE",IF(H111&gt;=L111,IF(J111="FULL","CORRECT","PENDING"),IF(I111="FULL","CORRECT",IF(J111="FULL","LATE",IF(OR(I111="PARTIAL",J111="PARTIAL"),"PARTIAL","WRONG / MISSED"))))))))</x:f>
      </x:c>
      <x:c r="AA111" t="str">
        <x:f>IF(OR(A111="",M111&lt;&gt;"VERIFIED",H111="",K111="",J111&lt;&gt;"FULL"),"",K111-H111)</x:f>
      </x:c>
      <x:c r="AB111" t="str">
        <x:f>IF(OR(A111="",M111&lt;&gt;"VERIFIED",H111="",H111&gt;=L111,J111="FULL",J111="UNASSESSABLE"),"",L111-H111)</x:f>
      </x:c>
      <x:c r="AC111" t="n">
        <x:f>IF(AND(A111&lt;&gt;"",M111="VERIFIED",N111="YES",H111&lt;&gt;"",H111&lt;L111,I111&lt;&gt;"UNASSESSABLE",I111&lt;&gt;"UNREVIEWED",I111&lt;&gt;"NOT_DUE"),1,0)</x:f>
        <x:v>0</x:v>
      </x:c>
      <x:c r="AD111" t="n">
        <x:f>IF(AND(AC111=1,I111="FULL"),1,0)</x:f>
        <x:v>0</x:v>
      </x:c>
      <x:c r="AE111" t="n">
        <x:f>IF(AND(AC111=1,OR(I111="FULL",J111="FULL")),1,0)</x:f>
        <x:v>0</x:v>
      </x:c>
      <x:c r="AF111" s="21"/>
    </x:row>
    <x:row r="112">
      <x:c r="H112" s="21"/>
      <x:c r="K112" s="21"/>
      <x:c r="L112" s="21"/>
      <x:c r="Z112" t="str">
        <x:f>IF(A112="","",IF(M112="EXCLUDED","EXCLUDED",IF(M112&lt;&gt;"VERIFIED","UNREVIEWED",IF(OR(H112="",I112="UNASSESSABLE",J112="UNASSESSABLE"),"UNSCORABLE",IF(H112&gt;=L112,IF(J112="FULL","CORRECT","PENDING"),IF(I112="FULL","CORRECT",IF(J112="FULL","LATE",IF(OR(I112="PARTIAL",J112="PARTIAL"),"PARTIAL","WRONG / MISSED"))))))))</x:f>
      </x:c>
      <x:c r="AA112" t="str">
        <x:f>IF(OR(A112="",M112&lt;&gt;"VERIFIED",H112="",K112="",J112&lt;&gt;"FULL"),"",K112-H112)</x:f>
      </x:c>
      <x:c r="AB112" t="str">
        <x:f>IF(OR(A112="",M112&lt;&gt;"VERIFIED",H112="",H112&gt;=L112,J112="FULL",J112="UNASSESSABLE"),"",L112-H112)</x:f>
      </x:c>
      <x:c r="AC112" t="n">
        <x:f>IF(AND(A112&lt;&gt;"",M112="VERIFIED",N112="YES",H112&lt;&gt;"",H112&lt;L112,I112&lt;&gt;"UNASSESSABLE",I112&lt;&gt;"UNREVIEWED",I112&lt;&gt;"NOT_DUE"),1,0)</x:f>
        <x:v>0</x:v>
      </x:c>
      <x:c r="AD112" t="n">
        <x:f>IF(AND(AC112=1,I112="FULL"),1,0)</x:f>
        <x:v>0</x:v>
      </x:c>
      <x:c r="AE112" t="n">
        <x:f>IF(AND(AC112=1,OR(I112="FULL",J112="FULL")),1,0)</x:f>
        <x:v>0</x:v>
      </x:c>
      <x:c r="AF112" s="21"/>
    </x:row>
    <x:row r="113">
      <x:c r="H113" s="21"/>
      <x:c r="K113" s="21"/>
      <x:c r="L113" s="21"/>
      <x:c r="Z113" t="str">
        <x:f>IF(A113="","",IF(M113="EXCLUDED","EXCLUDED",IF(M113&lt;&gt;"VERIFIED","UNREVIEWED",IF(OR(H113="",I113="UNASSESSABLE",J113="UNASSESSABLE"),"UNSCORABLE",IF(H113&gt;=L113,IF(J113="FULL","CORRECT","PENDING"),IF(I113="FULL","CORRECT",IF(J113="FULL","LATE",IF(OR(I113="PARTIAL",J113="PARTIAL"),"PARTIAL","WRONG / MISSED"))))))))</x:f>
      </x:c>
      <x:c r="AA113" t="str">
        <x:f>IF(OR(A113="",M113&lt;&gt;"VERIFIED",H113="",K113="",J113&lt;&gt;"FULL"),"",K113-H113)</x:f>
      </x:c>
      <x:c r="AB113" t="str">
        <x:f>IF(OR(A113="",M113&lt;&gt;"VERIFIED",H113="",H113&gt;=L113,J113="FULL",J113="UNASSESSABLE"),"",L113-H113)</x:f>
      </x:c>
      <x:c r="AC113" t="n">
        <x:f>IF(AND(A113&lt;&gt;"",M113="VERIFIED",N113="YES",H113&lt;&gt;"",H113&lt;L113,I113&lt;&gt;"UNASSESSABLE",I113&lt;&gt;"UNREVIEWED",I113&lt;&gt;"NOT_DUE"),1,0)</x:f>
        <x:v>0</x:v>
      </x:c>
      <x:c r="AD113" t="n">
        <x:f>IF(AND(AC113=1,I113="FULL"),1,0)</x:f>
        <x:v>0</x:v>
      </x:c>
      <x:c r="AE113" t="n">
        <x:f>IF(AND(AC113=1,OR(I113="FULL",J113="FULL")),1,0)</x:f>
        <x:v>0</x:v>
      </x:c>
      <x:c r="AF113" s="21"/>
    </x:row>
    <x:row r="114">
      <x:c r="H114" s="21"/>
      <x:c r="K114" s="21"/>
      <x:c r="L114" s="21"/>
      <x:c r="Z114" t="str">
        <x:f>IF(A114="","",IF(M114="EXCLUDED","EXCLUDED",IF(M114&lt;&gt;"VERIFIED","UNREVIEWED",IF(OR(H114="",I114="UNASSESSABLE",J114="UNASSESSABLE"),"UNSCORABLE",IF(H114&gt;=L114,IF(J114="FULL","CORRECT","PENDING"),IF(I114="FULL","CORRECT",IF(J114="FULL","LATE",IF(OR(I114="PARTIAL",J114="PARTIAL"),"PARTIAL","WRONG / MISSED"))))))))</x:f>
      </x:c>
      <x:c r="AA114" t="str">
        <x:f>IF(OR(A114="",M114&lt;&gt;"VERIFIED",H114="",K114="",J114&lt;&gt;"FULL"),"",K114-H114)</x:f>
      </x:c>
      <x:c r="AB114" t="str">
        <x:f>IF(OR(A114="",M114&lt;&gt;"VERIFIED",H114="",H114&gt;=L114,J114="FULL",J114="UNASSESSABLE"),"",L114-H114)</x:f>
      </x:c>
      <x:c r="AC114" t="n">
        <x:f>IF(AND(A114&lt;&gt;"",M114="VERIFIED",N114="YES",H114&lt;&gt;"",H114&lt;L114,I114&lt;&gt;"UNASSESSABLE",I114&lt;&gt;"UNREVIEWED",I114&lt;&gt;"NOT_DUE"),1,0)</x:f>
        <x:v>0</x:v>
      </x:c>
      <x:c r="AD114" t="n">
        <x:f>IF(AND(AC114=1,I114="FULL"),1,0)</x:f>
        <x:v>0</x:v>
      </x:c>
      <x:c r="AE114" t="n">
        <x:f>IF(AND(AC114=1,OR(I114="FULL",J114="FULL")),1,0)</x:f>
        <x:v>0</x:v>
      </x:c>
      <x:c r="AF114" s="21"/>
    </x:row>
    <x:row r="115">
      <x:c r="H115" s="21"/>
      <x:c r="K115" s="21"/>
      <x:c r="L115" s="21"/>
      <x:c r="Z115" t="str">
        <x:f>IF(A115="","",IF(M115="EXCLUDED","EXCLUDED",IF(M115&lt;&gt;"VERIFIED","UNREVIEWED",IF(OR(H115="",I115="UNASSESSABLE",J115="UNASSESSABLE"),"UNSCORABLE",IF(H115&gt;=L115,IF(J115="FULL","CORRECT","PENDING"),IF(I115="FULL","CORRECT",IF(J115="FULL","LATE",IF(OR(I115="PARTIAL",J115="PARTIAL"),"PARTIAL","WRONG / MISSED"))))))))</x:f>
      </x:c>
      <x:c r="AA115" t="str">
        <x:f>IF(OR(A115="",M115&lt;&gt;"VERIFIED",H115="",K115="",J115&lt;&gt;"FULL"),"",K115-H115)</x:f>
      </x:c>
      <x:c r="AB115" t="str">
        <x:f>IF(OR(A115="",M115&lt;&gt;"VERIFIED",H115="",H115&gt;=L115,J115="FULL",J115="UNASSESSABLE"),"",L115-H115)</x:f>
      </x:c>
      <x:c r="AC115" t="n">
        <x:f>IF(AND(A115&lt;&gt;"",M115="VERIFIED",N115="YES",H115&lt;&gt;"",H115&lt;L115,I115&lt;&gt;"UNASSESSABLE",I115&lt;&gt;"UNREVIEWED",I115&lt;&gt;"NOT_DUE"),1,0)</x:f>
        <x:v>0</x:v>
      </x:c>
      <x:c r="AD115" t="n">
        <x:f>IF(AND(AC115=1,I115="FULL"),1,0)</x:f>
        <x:v>0</x:v>
      </x:c>
      <x:c r="AE115" t="n">
        <x:f>IF(AND(AC115=1,OR(I115="FULL",J115="FULL")),1,0)</x:f>
        <x:v>0</x:v>
      </x:c>
      <x:c r="AF115" s="21"/>
    </x:row>
    <x:row r="116">
      <x:c r="H116" s="21"/>
      <x:c r="K116" s="21"/>
      <x:c r="L116" s="21"/>
      <x:c r="Z116" t="str">
        <x:f>IF(A116="","",IF(M116="EXCLUDED","EXCLUDED",IF(M116&lt;&gt;"VERIFIED","UNREVIEWED",IF(OR(H116="",I116="UNASSESSABLE",J116="UNASSESSABLE"),"UNSCORABLE",IF(H116&gt;=L116,IF(J116="FULL","CORRECT","PENDING"),IF(I116="FULL","CORRECT",IF(J116="FULL","LATE",IF(OR(I116="PARTIAL",J116="PARTIAL"),"PARTIAL","WRONG / MISSED"))))))))</x:f>
      </x:c>
      <x:c r="AA116" t="str">
        <x:f>IF(OR(A116="",M116&lt;&gt;"VERIFIED",H116="",K116="",J116&lt;&gt;"FULL"),"",K116-H116)</x:f>
      </x:c>
      <x:c r="AB116" t="str">
        <x:f>IF(OR(A116="",M116&lt;&gt;"VERIFIED",H116="",H116&gt;=L116,J116="FULL",J116="UNASSESSABLE"),"",L116-H116)</x:f>
      </x:c>
      <x:c r="AC116" t="n">
        <x:f>IF(AND(A116&lt;&gt;"",M116="VERIFIED",N116="YES",H116&lt;&gt;"",H116&lt;L116,I116&lt;&gt;"UNASSESSABLE",I116&lt;&gt;"UNREVIEWED",I116&lt;&gt;"NOT_DUE"),1,0)</x:f>
        <x:v>0</x:v>
      </x:c>
      <x:c r="AD116" t="n">
        <x:f>IF(AND(AC116=1,I116="FULL"),1,0)</x:f>
        <x:v>0</x:v>
      </x:c>
      <x:c r="AE116" t="n">
        <x:f>IF(AND(AC116=1,OR(I116="FULL",J116="FULL")),1,0)</x:f>
        <x:v>0</x:v>
      </x:c>
      <x:c r="AF116" s="21"/>
    </x:row>
    <x:row r="117">
      <x:c r="H117" s="21"/>
      <x:c r="K117" s="21"/>
      <x:c r="L117" s="21"/>
      <x:c r="Z117" t="str">
        <x:f>IF(A117="","",IF(M117="EXCLUDED","EXCLUDED",IF(M117&lt;&gt;"VERIFIED","UNREVIEWED",IF(OR(H117="",I117="UNASSESSABLE",J117="UNASSESSABLE"),"UNSCORABLE",IF(H117&gt;=L117,IF(J117="FULL","CORRECT","PENDING"),IF(I117="FULL","CORRECT",IF(J117="FULL","LATE",IF(OR(I117="PARTIAL",J117="PARTIAL"),"PARTIAL","WRONG / MISSED"))))))))</x:f>
      </x:c>
      <x:c r="AA117" t="str">
        <x:f>IF(OR(A117="",M117&lt;&gt;"VERIFIED",H117="",K117="",J117&lt;&gt;"FULL"),"",K117-H117)</x:f>
      </x:c>
      <x:c r="AB117" t="str">
        <x:f>IF(OR(A117="",M117&lt;&gt;"VERIFIED",H117="",H117&gt;=L117,J117="FULL",J117="UNASSESSABLE"),"",L117-H117)</x:f>
      </x:c>
      <x:c r="AC117" t="n">
        <x:f>IF(AND(A117&lt;&gt;"",M117="VERIFIED",N117="YES",H117&lt;&gt;"",H117&lt;L117,I117&lt;&gt;"UNASSESSABLE",I117&lt;&gt;"UNREVIEWED",I117&lt;&gt;"NOT_DUE"),1,0)</x:f>
        <x:v>0</x:v>
      </x:c>
      <x:c r="AD117" t="n">
        <x:f>IF(AND(AC117=1,I117="FULL"),1,0)</x:f>
        <x:v>0</x:v>
      </x:c>
      <x:c r="AE117" t="n">
        <x:f>IF(AND(AC117=1,OR(I117="FULL",J117="FULL")),1,0)</x:f>
        <x:v>0</x:v>
      </x:c>
      <x:c r="AF117" s="21"/>
    </x:row>
    <x:row r="118">
      <x:c r="H118" s="21"/>
      <x:c r="K118" s="21"/>
      <x:c r="L118" s="21"/>
      <x:c r="Z118" t="str">
        <x:f>IF(A118="","",IF(M118="EXCLUDED","EXCLUDED",IF(M118&lt;&gt;"VERIFIED","UNREVIEWED",IF(OR(H118="",I118="UNASSESSABLE",J118="UNASSESSABLE"),"UNSCORABLE",IF(H118&gt;=L118,IF(J118="FULL","CORRECT","PENDING"),IF(I118="FULL","CORRECT",IF(J118="FULL","LATE",IF(OR(I118="PARTIAL",J118="PARTIAL"),"PARTIAL","WRONG / MISSED"))))))))</x:f>
      </x:c>
      <x:c r="AA118" t="str">
        <x:f>IF(OR(A118="",M118&lt;&gt;"VERIFIED",H118="",K118="",J118&lt;&gt;"FULL"),"",K118-H118)</x:f>
      </x:c>
      <x:c r="AB118" t="str">
        <x:f>IF(OR(A118="",M118&lt;&gt;"VERIFIED",H118="",H118&gt;=L118,J118="FULL",J118="UNASSESSABLE"),"",L118-H118)</x:f>
      </x:c>
      <x:c r="AC118" t="n">
        <x:f>IF(AND(A118&lt;&gt;"",M118="VERIFIED",N118="YES",H118&lt;&gt;"",H118&lt;L118,I118&lt;&gt;"UNASSESSABLE",I118&lt;&gt;"UNREVIEWED",I118&lt;&gt;"NOT_DUE"),1,0)</x:f>
        <x:v>0</x:v>
      </x:c>
      <x:c r="AD118" t="n">
        <x:f>IF(AND(AC118=1,I118="FULL"),1,0)</x:f>
        <x:v>0</x:v>
      </x:c>
      <x:c r="AE118" t="n">
        <x:f>IF(AND(AC118=1,OR(I118="FULL",J118="FULL")),1,0)</x:f>
        <x:v>0</x:v>
      </x:c>
      <x:c r="AF118" s="21"/>
    </x:row>
    <x:row r="119">
      <x:c r="H119" s="21"/>
      <x:c r="K119" s="21"/>
      <x:c r="L119" s="21"/>
      <x:c r="Z119" t="str">
        <x:f>IF(A119="","",IF(M119="EXCLUDED","EXCLUDED",IF(M119&lt;&gt;"VERIFIED","UNREVIEWED",IF(OR(H119="",I119="UNASSESSABLE",J119="UNASSESSABLE"),"UNSCORABLE",IF(H119&gt;=L119,IF(J119="FULL","CORRECT","PENDING"),IF(I119="FULL","CORRECT",IF(J119="FULL","LATE",IF(OR(I119="PARTIAL",J119="PARTIAL"),"PARTIAL","WRONG / MISSED"))))))))</x:f>
      </x:c>
      <x:c r="AA119" t="str">
        <x:f>IF(OR(A119="",M119&lt;&gt;"VERIFIED",H119="",K119="",J119&lt;&gt;"FULL"),"",K119-H119)</x:f>
      </x:c>
      <x:c r="AB119" t="str">
        <x:f>IF(OR(A119="",M119&lt;&gt;"VERIFIED",H119="",H119&gt;=L119,J119="FULL",J119="UNASSESSABLE"),"",L119-H119)</x:f>
      </x:c>
      <x:c r="AC119" t="n">
        <x:f>IF(AND(A119&lt;&gt;"",M119="VERIFIED",N119="YES",H119&lt;&gt;"",H119&lt;L119,I119&lt;&gt;"UNASSESSABLE",I119&lt;&gt;"UNREVIEWED",I119&lt;&gt;"NOT_DUE"),1,0)</x:f>
        <x:v>0</x:v>
      </x:c>
      <x:c r="AD119" t="n">
        <x:f>IF(AND(AC119=1,I119="FULL"),1,0)</x:f>
        <x:v>0</x:v>
      </x:c>
      <x:c r="AE119" t="n">
        <x:f>IF(AND(AC119=1,OR(I119="FULL",J119="FULL")),1,0)</x:f>
        <x:v>0</x:v>
      </x:c>
      <x:c r="AF119" s="21"/>
    </x:row>
    <x:row r="120">
      <x:c r="H120" s="21"/>
      <x:c r="K120" s="21"/>
      <x:c r="L120" s="21"/>
      <x:c r="Z120" t="str">
        <x:f>IF(A120="","",IF(M120="EXCLUDED","EXCLUDED",IF(M120&lt;&gt;"VERIFIED","UNREVIEWED",IF(OR(H120="",I120="UNASSESSABLE",J120="UNASSESSABLE"),"UNSCORABLE",IF(H120&gt;=L120,IF(J120="FULL","CORRECT","PENDING"),IF(I120="FULL","CORRECT",IF(J120="FULL","LATE",IF(OR(I120="PARTIAL",J120="PARTIAL"),"PARTIAL","WRONG / MISSED"))))))))</x:f>
      </x:c>
      <x:c r="AA120" t="str">
        <x:f>IF(OR(A120="",M120&lt;&gt;"VERIFIED",H120="",K120="",J120&lt;&gt;"FULL"),"",K120-H120)</x:f>
      </x:c>
      <x:c r="AB120" t="str">
        <x:f>IF(OR(A120="",M120&lt;&gt;"VERIFIED",H120="",H120&gt;=L120,J120="FULL",J120="UNASSESSABLE"),"",L120-H120)</x:f>
      </x:c>
      <x:c r="AC120" t="n">
        <x:f>IF(AND(A120&lt;&gt;"",M120="VERIFIED",N120="YES",H120&lt;&gt;"",H120&lt;L120,I120&lt;&gt;"UNASSESSABLE",I120&lt;&gt;"UNREVIEWED",I120&lt;&gt;"NOT_DUE"),1,0)</x:f>
        <x:v>0</x:v>
      </x:c>
      <x:c r="AD120" t="n">
        <x:f>IF(AND(AC120=1,I120="FULL"),1,0)</x:f>
        <x:v>0</x:v>
      </x:c>
      <x:c r="AE120" t="n">
        <x:f>IF(AND(AC120=1,OR(I120="FULL",J120="FULL")),1,0)</x:f>
        <x:v>0</x:v>
      </x:c>
      <x:c r="AF120" s="21"/>
    </x:row>
    <x:row r="121">
      <x:c r="H121" s="21"/>
      <x:c r="K121" s="21"/>
      <x:c r="L121" s="21"/>
      <x:c r="Z121" t="str">
        <x:f>IF(A121="","",IF(M121="EXCLUDED","EXCLUDED",IF(M121&lt;&gt;"VERIFIED","UNREVIEWED",IF(OR(H121="",I121="UNASSESSABLE",J121="UNASSESSABLE"),"UNSCORABLE",IF(H121&gt;=L121,IF(J121="FULL","CORRECT","PENDING"),IF(I121="FULL","CORRECT",IF(J121="FULL","LATE",IF(OR(I121="PARTIAL",J121="PARTIAL"),"PARTIAL","WRONG / MISSED"))))))))</x:f>
      </x:c>
      <x:c r="AA121" t="str">
        <x:f>IF(OR(A121="",M121&lt;&gt;"VERIFIED",H121="",K121="",J121&lt;&gt;"FULL"),"",K121-H121)</x:f>
      </x:c>
      <x:c r="AB121" t="str">
        <x:f>IF(OR(A121="",M121&lt;&gt;"VERIFIED",H121="",H121&gt;=L121,J121="FULL",J121="UNASSESSABLE"),"",L121-H121)</x:f>
      </x:c>
      <x:c r="AC121" t="n">
        <x:f>IF(AND(A121&lt;&gt;"",M121="VERIFIED",N121="YES",H121&lt;&gt;"",H121&lt;L121,I121&lt;&gt;"UNASSESSABLE",I121&lt;&gt;"UNREVIEWED",I121&lt;&gt;"NOT_DUE"),1,0)</x:f>
        <x:v>0</x:v>
      </x:c>
      <x:c r="AD121" t="n">
        <x:f>IF(AND(AC121=1,I121="FULL"),1,0)</x:f>
        <x:v>0</x:v>
      </x:c>
      <x:c r="AE121" t="n">
        <x:f>IF(AND(AC121=1,OR(I121="FULL",J121="FULL")),1,0)</x:f>
        <x:v>0</x:v>
      </x:c>
      <x:c r="AF121" s="21"/>
    </x:row>
    <x:row r="122">
      <x:c r="H122" s="21"/>
      <x:c r="K122" s="21"/>
      <x:c r="L122" s="21"/>
      <x:c r="Z122" t="str">
        <x:f>IF(A122="","",IF(M122="EXCLUDED","EXCLUDED",IF(M122&lt;&gt;"VERIFIED","UNREVIEWED",IF(OR(H122="",I122="UNASSESSABLE",J122="UNASSESSABLE"),"UNSCORABLE",IF(H122&gt;=L122,IF(J122="FULL","CORRECT","PENDING"),IF(I122="FULL","CORRECT",IF(J122="FULL","LATE",IF(OR(I122="PARTIAL",J122="PARTIAL"),"PARTIAL","WRONG / MISSED"))))))))</x:f>
      </x:c>
      <x:c r="AA122" t="str">
        <x:f>IF(OR(A122="",M122&lt;&gt;"VERIFIED",H122="",K122="",J122&lt;&gt;"FULL"),"",K122-H122)</x:f>
      </x:c>
      <x:c r="AB122" t="str">
        <x:f>IF(OR(A122="",M122&lt;&gt;"VERIFIED",H122="",H122&gt;=L122,J122="FULL",J122="UNASSESSABLE"),"",L122-H122)</x:f>
      </x:c>
      <x:c r="AC122" t="n">
        <x:f>IF(AND(A122&lt;&gt;"",M122="VERIFIED",N122="YES",H122&lt;&gt;"",H122&lt;L122,I122&lt;&gt;"UNASSESSABLE",I122&lt;&gt;"UNREVIEWED",I122&lt;&gt;"NOT_DUE"),1,0)</x:f>
        <x:v>0</x:v>
      </x:c>
      <x:c r="AD122" t="n">
        <x:f>IF(AND(AC122=1,I122="FULL"),1,0)</x:f>
        <x:v>0</x:v>
      </x:c>
      <x:c r="AE122" t="n">
        <x:f>IF(AND(AC122=1,OR(I122="FULL",J122="FULL")),1,0)</x:f>
        <x:v>0</x:v>
      </x:c>
      <x:c r="AF122" s="21"/>
    </x:row>
    <x:row r="123">
      <x:c r="H123" s="21"/>
      <x:c r="K123" s="21"/>
      <x:c r="L123" s="21"/>
      <x:c r="Z123" t="str">
        <x:f>IF(A123="","",IF(M123="EXCLUDED","EXCLUDED",IF(M123&lt;&gt;"VERIFIED","UNREVIEWED",IF(OR(H123="",I123="UNASSESSABLE",J123="UNASSESSABLE"),"UNSCORABLE",IF(H123&gt;=L123,IF(J123="FULL","CORRECT","PENDING"),IF(I123="FULL","CORRECT",IF(J123="FULL","LATE",IF(OR(I123="PARTIAL",J123="PARTIAL"),"PARTIAL","WRONG / MISSED"))))))))</x:f>
      </x:c>
      <x:c r="AA123" t="str">
        <x:f>IF(OR(A123="",M123&lt;&gt;"VERIFIED",H123="",K123="",J123&lt;&gt;"FULL"),"",K123-H123)</x:f>
      </x:c>
      <x:c r="AB123" t="str">
        <x:f>IF(OR(A123="",M123&lt;&gt;"VERIFIED",H123="",H123&gt;=L123,J123="FULL",J123="UNASSESSABLE"),"",L123-H123)</x:f>
      </x:c>
      <x:c r="AC123" t="n">
        <x:f>IF(AND(A123&lt;&gt;"",M123="VERIFIED",N123="YES",H123&lt;&gt;"",H123&lt;L123,I123&lt;&gt;"UNASSESSABLE",I123&lt;&gt;"UNREVIEWED",I123&lt;&gt;"NOT_DUE"),1,0)</x:f>
        <x:v>0</x:v>
      </x:c>
      <x:c r="AD123" t="n">
        <x:f>IF(AND(AC123=1,I123="FULL"),1,0)</x:f>
        <x:v>0</x:v>
      </x:c>
      <x:c r="AE123" t="n">
        <x:f>IF(AND(AC123=1,OR(I123="FULL",J123="FULL")),1,0)</x:f>
        <x:v>0</x:v>
      </x:c>
      <x:c r="AF123" s="21"/>
    </x:row>
    <x:row r="124">
      <x:c r="H124" s="21"/>
      <x:c r="K124" s="21"/>
      <x:c r="L124" s="21"/>
      <x:c r="Z124" t="str">
        <x:f>IF(A124="","",IF(M124="EXCLUDED","EXCLUDED",IF(M124&lt;&gt;"VERIFIED","UNREVIEWED",IF(OR(H124="",I124="UNASSESSABLE",J124="UNASSESSABLE"),"UNSCORABLE",IF(H124&gt;=L124,IF(J124="FULL","CORRECT","PENDING"),IF(I124="FULL","CORRECT",IF(J124="FULL","LATE",IF(OR(I124="PARTIAL",J124="PARTIAL"),"PARTIAL","WRONG / MISSED"))))))))</x:f>
      </x:c>
      <x:c r="AA124" t="str">
        <x:f>IF(OR(A124="",M124&lt;&gt;"VERIFIED",H124="",K124="",J124&lt;&gt;"FULL"),"",K124-H124)</x:f>
      </x:c>
      <x:c r="AB124" t="str">
        <x:f>IF(OR(A124="",M124&lt;&gt;"VERIFIED",H124="",H124&gt;=L124,J124="FULL",J124="UNASSESSABLE"),"",L124-H124)</x:f>
      </x:c>
      <x:c r="AC124" t="n">
        <x:f>IF(AND(A124&lt;&gt;"",M124="VERIFIED",N124="YES",H124&lt;&gt;"",H124&lt;L124,I124&lt;&gt;"UNASSESSABLE",I124&lt;&gt;"UNREVIEWED",I124&lt;&gt;"NOT_DUE"),1,0)</x:f>
        <x:v>0</x:v>
      </x:c>
      <x:c r="AD124" t="n">
        <x:f>IF(AND(AC124=1,I124="FULL"),1,0)</x:f>
        <x:v>0</x:v>
      </x:c>
      <x:c r="AE124" t="n">
        <x:f>IF(AND(AC124=1,OR(I124="FULL",J124="FULL")),1,0)</x:f>
        <x:v>0</x:v>
      </x:c>
      <x:c r="AF124" s="21"/>
    </x:row>
    <x:row r="125">
      <x:c r="H125" s="21"/>
      <x:c r="K125" s="21"/>
      <x:c r="L125" s="21"/>
      <x:c r="Z125" t="str">
        <x:f>IF(A125="","",IF(M125="EXCLUDED","EXCLUDED",IF(M125&lt;&gt;"VERIFIED","UNREVIEWED",IF(OR(H125="",I125="UNASSESSABLE",J125="UNASSESSABLE"),"UNSCORABLE",IF(H125&gt;=L125,IF(J125="FULL","CORRECT","PENDING"),IF(I125="FULL","CORRECT",IF(J125="FULL","LATE",IF(OR(I125="PARTIAL",J125="PARTIAL"),"PARTIAL","WRONG / MISSED"))))))))</x:f>
      </x:c>
      <x:c r="AA125" t="str">
        <x:f>IF(OR(A125="",M125&lt;&gt;"VERIFIED",H125="",K125="",J125&lt;&gt;"FULL"),"",K125-H125)</x:f>
      </x:c>
      <x:c r="AB125" t="str">
        <x:f>IF(OR(A125="",M125&lt;&gt;"VERIFIED",H125="",H125&gt;=L125,J125="FULL",J125="UNASSESSABLE"),"",L125-H125)</x:f>
      </x:c>
      <x:c r="AC125" t="n">
        <x:f>IF(AND(A125&lt;&gt;"",M125="VERIFIED",N125="YES",H125&lt;&gt;"",H125&lt;L125,I125&lt;&gt;"UNASSESSABLE",I125&lt;&gt;"UNREVIEWED",I125&lt;&gt;"NOT_DUE"),1,0)</x:f>
        <x:v>0</x:v>
      </x:c>
      <x:c r="AD125" t="n">
        <x:f>IF(AND(AC125=1,I125="FULL"),1,0)</x:f>
        <x:v>0</x:v>
      </x:c>
      <x:c r="AE125" t="n">
        <x:f>IF(AND(AC125=1,OR(I125="FULL",J125="FULL")),1,0)</x:f>
        <x:v>0</x:v>
      </x:c>
      <x:c r="AF125" s="21"/>
    </x:row>
    <x:row r="126">
      <x:c r="H126" s="21"/>
      <x:c r="K126" s="21"/>
      <x:c r="L126" s="21"/>
      <x:c r="Z126" t="str">
        <x:f>IF(A126="","",IF(M126="EXCLUDED","EXCLUDED",IF(M126&lt;&gt;"VERIFIED","UNREVIEWED",IF(OR(H126="",I126="UNASSESSABLE",J126="UNASSESSABLE"),"UNSCORABLE",IF(H126&gt;=L126,IF(J126="FULL","CORRECT","PENDING"),IF(I126="FULL","CORRECT",IF(J126="FULL","LATE",IF(OR(I126="PARTIAL",J126="PARTIAL"),"PARTIAL","WRONG / MISSED"))))))))</x:f>
      </x:c>
      <x:c r="AA126" t="str">
        <x:f>IF(OR(A126="",M126&lt;&gt;"VERIFIED",H126="",K126="",J126&lt;&gt;"FULL"),"",K126-H126)</x:f>
      </x:c>
      <x:c r="AB126" t="str">
        <x:f>IF(OR(A126="",M126&lt;&gt;"VERIFIED",H126="",H126&gt;=L126,J126="FULL",J126="UNASSESSABLE"),"",L126-H126)</x:f>
      </x:c>
      <x:c r="AC126" t="n">
        <x:f>IF(AND(A126&lt;&gt;"",M126="VERIFIED",N126="YES",H126&lt;&gt;"",H126&lt;L126,I126&lt;&gt;"UNASSESSABLE",I126&lt;&gt;"UNREVIEWED",I126&lt;&gt;"NOT_DUE"),1,0)</x:f>
        <x:v>0</x:v>
      </x:c>
      <x:c r="AD126" t="n">
        <x:f>IF(AND(AC126=1,I126="FULL"),1,0)</x:f>
        <x:v>0</x:v>
      </x:c>
      <x:c r="AE126" t="n">
        <x:f>IF(AND(AC126=1,OR(I126="FULL",J126="FULL")),1,0)</x:f>
        <x:v>0</x:v>
      </x:c>
      <x:c r="AF126" s="21"/>
    </x:row>
    <x:row r="127">
      <x:c r="H127" s="21"/>
      <x:c r="K127" s="21"/>
      <x:c r="L127" s="21"/>
      <x:c r="Z127" t="str">
        <x:f>IF(A127="","",IF(M127="EXCLUDED","EXCLUDED",IF(M127&lt;&gt;"VERIFIED","UNREVIEWED",IF(OR(H127="",I127="UNASSESSABLE",J127="UNASSESSABLE"),"UNSCORABLE",IF(H127&gt;=L127,IF(J127="FULL","CORRECT","PENDING"),IF(I127="FULL","CORRECT",IF(J127="FULL","LATE",IF(OR(I127="PARTIAL",J127="PARTIAL"),"PARTIAL","WRONG / MISSED"))))))))</x:f>
      </x:c>
      <x:c r="AA127" t="str">
        <x:f>IF(OR(A127="",M127&lt;&gt;"VERIFIED",H127="",K127="",J127&lt;&gt;"FULL"),"",K127-H127)</x:f>
      </x:c>
      <x:c r="AB127" t="str">
        <x:f>IF(OR(A127="",M127&lt;&gt;"VERIFIED",H127="",H127&gt;=L127,J127="FULL",J127="UNASSESSABLE"),"",L127-H127)</x:f>
      </x:c>
      <x:c r="AC127" t="n">
        <x:f>IF(AND(A127&lt;&gt;"",M127="VERIFIED",N127="YES",H127&lt;&gt;"",H127&lt;L127,I127&lt;&gt;"UNASSESSABLE",I127&lt;&gt;"UNREVIEWED",I127&lt;&gt;"NOT_DUE"),1,0)</x:f>
        <x:v>0</x:v>
      </x:c>
      <x:c r="AD127" t="n">
        <x:f>IF(AND(AC127=1,I127="FULL"),1,0)</x:f>
        <x:v>0</x:v>
      </x:c>
      <x:c r="AE127" t="n">
        <x:f>IF(AND(AC127=1,OR(I127="FULL",J127="FULL")),1,0)</x:f>
        <x:v>0</x:v>
      </x:c>
      <x:c r="AF127" s="21"/>
    </x:row>
    <x:row r="128">
      <x:c r="H128" s="21"/>
      <x:c r="K128" s="21"/>
      <x:c r="L128" s="21"/>
      <x:c r="Z128" t="str">
        <x:f>IF(A128="","",IF(M128="EXCLUDED","EXCLUDED",IF(M128&lt;&gt;"VERIFIED","UNREVIEWED",IF(OR(H128="",I128="UNASSESSABLE",J128="UNASSESSABLE"),"UNSCORABLE",IF(H128&gt;=L128,IF(J128="FULL","CORRECT","PENDING"),IF(I128="FULL","CORRECT",IF(J128="FULL","LATE",IF(OR(I128="PARTIAL",J128="PARTIAL"),"PARTIAL","WRONG / MISSED"))))))))</x:f>
      </x:c>
      <x:c r="AA128" t="str">
        <x:f>IF(OR(A128="",M128&lt;&gt;"VERIFIED",H128="",K128="",J128&lt;&gt;"FULL"),"",K128-H128)</x:f>
      </x:c>
      <x:c r="AB128" t="str">
        <x:f>IF(OR(A128="",M128&lt;&gt;"VERIFIED",H128="",H128&gt;=L128,J128="FULL",J128="UNASSESSABLE"),"",L128-H128)</x:f>
      </x:c>
      <x:c r="AC128" t="n">
        <x:f>IF(AND(A128&lt;&gt;"",M128="VERIFIED",N128="YES",H128&lt;&gt;"",H128&lt;L128,I128&lt;&gt;"UNASSESSABLE",I128&lt;&gt;"UNREVIEWED",I128&lt;&gt;"NOT_DUE"),1,0)</x:f>
        <x:v>0</x:v>
      </x:c>
      <x:c r="AD128" t="n">
        <x:f>IF(AND(AC128=1,I128="FULL"),1,0)</x:f>
        <x:v>0</x:v>
      </x:c>
      <x:c r="AE128" t="n">
        <x:f>IF(AND(AC128=1,OR(I128="FULL",J128="FULL")),1,0)</x:f>
        <x:v>0</x:v>
      </x:c>
      <x:c r="AF128" s="21"/>
    </x:row>
    <x:row r="129">
      <x:c r="H129" s="21"/>
      <x:c r="K129" s="21"/>
      <x:c r="L129" s="21"/>
      <x:c r="Z129" t="str">
        <x:f>IF(A129="","",IF(M129="EXCLUDED","EXCLUDED",IF(M129&lt;&gt;"VERIFIED","UNREVIEWED",IF(OR(H129="",I129="UNASSESSABLE",J129="UNASSESSABLE"),"UNSCORABLE",IF(H129&gt;=L129,IF(J129="FULL","CORRECT","PENDING"),IF(I129="FULL","CORRECT",IF(J129="FULL","LATE",IF(OR(I129="PARTIAL",J129="PARTIAL"),"PARTIAL","WRONG / MISSED"))))))))</x:f>
      </x:c>
      <x:c r="AA129" t="str">
        <x:f>IF(OR(A129="",M129&lt;&gt;"VERIFIED",H129="",K129="",J129&lt;&gt;"FULL"),"",K129-H129)</x:f>
      </x:c>
      <x:c r="AB129" t="str">
        <x:f>IF(OR(A129="",M129&lt;&gt;"VERIFIED",H129="",H129&gt;=L129,J129="FULL",J129="UNASSESSABLE"),"",L129-H129)</x:f>
      </x:c>
      <x:c r="AC129" t="n">
        <x:f>IF(AND(A129&lt;&gt;"",M129="VERIFIED",N129="YES",H129&lt;&gt;"",H129&lt;L129,I129&lt;&gt;"UNASSESSABLE",I129&lt;&gt;"UNREVIEWED",I129&lt;&gt;"NOT_DUE"),1,0)</x:f>
        <x:v>0</x:v>
      </x:c>
      <x:c r="AD129" t="n">
        <x:f>IF(AND(AC129=1,I129="FULL"),1,0)</x:f>
        <x:v>0</x:v>
      </x:c>
      <x:c r="AE129" t="n">
        <x:f>IF(AND(AC129=1,OR(I129="FULL",J129="FULL")),1,0)</x:f>
        <x:v>0</x:v>
      </x:c>
      <x:c r="AF129" s="21"/>
    </x:row>
    <x:row r="130">
      <x:c r="H130" s="21"/>
      <x:c r="K130" s="21"/>
      <x:c r="L130" s="21"/>
      <x:c r="Z130" t="str">
        <x:f>IF(A130="","",IF(M130="EXCLUDED","EXCLUDED",IF(M130&lt;&gt;"VERIFIED","UNREVIEWED",IF(OR(H130="",I130="UNASSESSABLE",J130="UNASSESSABLE"),"UNSCORABLE",IF(H130&gt;=L130,IF(J130="FULL","CORRECT","PENDING"),IF(I130="FULL","CORRECT",IF(J130="FULL","LATE",IF(OR(I130="PARTIAL",J130="PARTIAL"),"PARTIAL","WRONG / MISSED"))))))))</x:f>
      </x:c>
      <x:c r="AA130" t="str">
        <x:f>IF(OR(A130="",M130&lt;&gt;"VERIFIED",H130="",K130="",J130&lt;&gt;"FULL"),"",K130-H130)</x:f>
      </x:c>
      <x:c r="AB130" t="str">
        <x:f>IF(OR(A130="",M130&lt;&gt;"VERIFIED",H130="",H130&gt;=L130,J130="FULL",J130="UNASSESSABLE"),"",L130-H130)</x:f>
      </x:c>
      <x:c r="AC130" t="n">
        <x:f>IF(AND(A130&lt;&gt;"",M130="VERIFIED",N130="YES",H130&lt;&gt;"",H130&lt;L130,I130&lt;&gt;"UNASSESSABLE",I130&lt;&gt;"UNREVIEWED",I130&lt;&gt;"NOT_DUE"),1,0)</x:f>
        <x:v>0</x:v>
      </x:c>
      <x:c r="AD130" t="n">
        <x:f>IF(AND(AC130=1,I130="FULL"),1,0)</x:f>
        <x:v>0</x:v>
      </x:c>
      <x:c r="AE130" t="n">
        <x:f>IF(AND(AC130=1,OR(I130="FULL",J130="FULL")),1,0)</x:f>
        <x:v>0</x:v>
      </x:c>
      <x:c r="AF130" s="21"/>
    </x:row>
    <x:row r="131">
      <x:c r="H131" s="21"/>
      <x:c r="K131" s="21"/>
      <x:c r="L131" s="21"/>
      <x:c r="Z131" t="str">
        <x:f>IF(A131="","",IF(M131="EXCLUDED","EXCLUDED",IF(M131&lt;&gt;"VERIFIED","UNREVIEWED",IF(OR(H131="",I131="UNASSESSABLE",J131="UNASSESSABLE"),"UNSCORABLE",IF(H131&gt;=L131,IF(J131="FULL","CORRECT","PENDING"),IF(I131="FULL","CORRECT",IF(J131="FULL","LATE",IF(OR(I131="PARTIAL",J131="PARTIAL"),"PARTIAL","WRONG / MISSED"))))))))</x:f>
      </x:c>
      <x:c r="AA131" t="str">
        <x:f>IF(OR(A131="",M131&lt;&gt;"VERIFIED",H131="",K131="",J131&lt;&gt;"FULL"),"",K131-H131)</x:f>
      </x:c>
      <x:c r="AB131" t="str">
        <x:f>IF(OR(A131="",M131&lt;&gt;"VERIFIED",H131="",H131&gt;=L131,J131="FULL",J131="UNASSESSABLE"),"",L131-H131)</x:f>
      </x:c>
      <x:c r="AC131" t="n">
        <x:f>IF(AND(A131&lt;&gt;"",M131="VERIFIED",N131="YES",H131&lt;&gt;"",H131&lt;L131,I131&lt;&gt;"UNASSESSABLE",I131&lt;&gt;"UNREVIEWED",I131&lt;&gt;"NOT_DUE"),1,0)</x:f>
        <x:v>0</x:v>
      </x:c>
      <x:c r="AD131" t="n">
        <x:f>IF(AND(AC131=1,I131="FULL"),1,0)</x:f>
        <x:v>0</x:v>
      </x:c>
      <x:c r="AE131" t="n">
        <x:f>IF(AND(AC131=1,OR(I131="FULL",J131="FULL")),1,0)</x:f>
        <x:v>0</x:v>
      </x:c>
      <x:c r="AF131" s="21"/>
    </x:row>
    <x:row r="132">
      <x:c r="H132" s="21"/>
      <x:c r="K132" s="21"/>
      <x:c r="L132" s="21"/>
      <x:c r="Z132" t="str">
        <x:f>IF(A132="","",IF(M132="EXCLUDED","EXCLUDED",IF(M132&lt;&gt;"VERIFIED","UNREVIEWED",IF(OR(H132="",I132="UNASSESSABLE",J132="UNASSESSABLE"),"UNSCORABLE",IF(H132&gt;=L132,IF(J132="FULL","CORRECT","PENDING"),IF(I132="FULL","CORRECT",IF(J132="FULL","LATE",IF(OR(I132="PARTIAL",J132="PARTIAL"),"PARTIAL","WRONG / MISSED"))))))))</x:f>
      </x:c>
      <x:c r="AA132" t="str">
        <x:f>IF(OR(A132="",M132&lt;&gt;"VERIFIED",H132="",K132="",J132&lt;&gt;"FULL"),"",K132-H132)</x:f>
      </x:c>
      <x:c r="AB132" t="str">
        <x:f>IF(OR(A132="",M132&lt;&gt;"VERIFIED",H132="",H132&gt;=L132,J132="FULL",J132="UNASSESSABLE"),"",L132-H132)</x:f>
      </x:c>
      <x:c r="AC132" t="n">
        <x:f>IF(AND(A132&lt;&gt;"",M132="VERIFIED",N132="YES",H132&lt;&gt;"",H132&lt;L132,I132&lt;&gt;"UNASSESSABLE",I132&lt;&gt;"UNREVIEWED",I132&lt;&gt;"NOT_DUE"),1,0)</x:f>
        <x:v>0</x:v>
      </x:c>
      <x:c r="AD132" t="n">
        <x:f>IF(AND(AC132=1,I132="FULL"),1,0)</x:f>
        <x:v>0</x:v>
      </x:c>
      <x:c r="AE132" t="n">
        <x:f>IF(AND(AC132=1,OR(I132="FULL",J132="FULL")),1,0)</x:f>
        <x:v>0</x:v>
      </x:c>
      <x:c r="AF132" s="21"/>
    </x:row>
    <x:row r="133">
      <x:c r="H133" s="21"/>
      <x:c r="K133" s="21"/>
      <x:c r="L133" s="21"/>
      <x:c r="Z133" t="str">
        <x:f>IF(A133="","",IF(M133="EXCLUDED","EXCLUDED",IF(M133&lt;&gt;"VERIFIED","UNREVIEWED",IF(OR(H133="",I133="UNASSESSABLE",J133="UNASSESSABLE"),"UNSCORABLE",IF(H133&gt;=L133,IF(J133="FULL","CORRECT","PENDING"),IF(I133="FULL","CORRECT",IF(J133="FULL","LATE",IF(OR(I133="PARTIAL",J133="PARTIAL"),"PARTIAL","WRONG / MISSED"))))))))</x:f>
      </x:c>
      <x:c r="AA133" t="str">
        <x:f>IF(OR(A133="",M133&lt;&gt;"VERIFIED",H133="",K133="",J133&lt;&gt;"FULL"),"",K133-H133)</x:f>
      </x:c>
      <x:c r="AB133" t="str">
        <x:f>IF(OR(A133="",M133&lt;&gt;"VERIFIED",H133="",H133&gt;=L133,J133="FULL",J133="UNASSESSABLE"),"",L133-H133)</x:f>
      </x:c>
      <x:c r="AC133" t="n">
        <x:f>IF(AND(A133&lt;&gt;"",M133="VERIFIED",N133="YES",H133&lt;&gt;"",H133&lt;L133,I133&lt;&gt;"UNASSESSABLE",I133&lt;&gt;"UNREVIEWED",I133&lt;&gt;"NOT_DUE"),1,0)</x:f>
        <x:v>0</x:v>
      </x:c>
      <x:c r="AD133" t="n">
        <x:f>IF(AND(AC133=1,I133="FULL"),1,0)</x:f>
        <x:v>0</x:v>
      </x:c>
      <x:c r="AE133" t="n">
        <x:f>IF(AND(AC133=1,OR(I133="FULL",J133="FULL")),1,0)</x:f>
        <x:v>0</x:v>
      </x:c>
      <x:c r="AF133" s="21"/>
    </x:row>
    <x:row r="134">
      <x:c r="H134" s="21"/>
      <x:c r="K134" s="21"/>
      <x:c r="L134" s="21"/>
      <x:c r="Z134" t="str">
        <x:f>IF(A134="","",IF(M134="EXCLUDED","EXCLUDED",IF(M134&lt;&gt;"VERIFIED","UNREVIEWED",IF(OR(H134="",I134="UNASSESSABLE",J134="UNASSESSABLE"),"UNSCORABLE",IF(H134&gt;=L134,IF(J134="FULL","CORRECT","PENDING"),IF(I134="FULL","CORRECT",IF(J134="FULL","LATE",IF(OR(I134="PARTIAL",J134="PARTIAL"),"PARTIAL","WRONG / MISSED"))))))))</x:f>
      </x:c>
      <x:c r="AA134" t="str">
        <x:f>IF(OR(A134="",M134&lt;&gt;"VERIFIED",H134="",K134="",J134&lt;&gt;"FULL"),"",K134-H134)</x:f>
      </x:c>
      <x:c r="AB134" t="str">
        <x:f>IF(OR(A134="",M134&lt;&gt;"VERIFIED",H134="",H134&gt;=L134,J134="FULL",J134="UNASSESSABLE"),"",L134-H134)</x:f>
      </x:c>
      <x:c r="AC134" t="n">
        <x:f>IF(AND(A134&lt;&gt;"",M134="VERIFIED",N134="YES",H134&lt;&gt;"",H134&lt;L134,I134&lt;&gt;"UNASSESSABLE",I134&lt;&gt;"UNREVIEWED",I134&lt;&gt;"NOT_DUE"),1,0)</x:f>
        <x:v>0</x:v>
      </x:c>
      <x:c r="AD134" t="n">
        <x:f>IF(AND(AC134=1,I134="FULL"),1,0)</x:f>
        <x:v>0</x:v>
      </x:c>
      <x:c r="AE134" t="n">
        <x:f>IF(AND(AC134=1,OR(I134="FULL",J134="FULL")),1,0)</x:f>
        <x:v>0</x:v>
      </x:c>
      <x:c r="AF134" s="21"/>
    </x:row>
    <x:row r="135">
      <x:c r="H135" s="21"/>
      <x:c r="K135" s="21"/>
      <x:c r="L135" s="21"/>
      <x:c r="Z135" t="str">
        <x:f>IF(A135="","",IF(M135="EXCLUDED","EXCLUDED",IF(M135&lt;&gt;"VERIFIED","UNREVIEWED",IF(OR(H135="",I135="UNASSESSABLE",J135="UNASSESSABLE"),"UNSCORABLE",IF(H135&gt;=L135,IF(J135="FULL","CORRECT","PENDING"),IF(I135="FULL","CORRECT",IF(J135="FULL","LATE",IF(OR(I135="PARTIAL",J135="PARTIAL"),"PARTIAL","WRONG / MISSED"))))))))</x:f>
      </x:c>
      <x:c r="AA135" t="str">
        <x:f>IF(OR(A135="",M135&lt;&gt;"VERIFIED",H135="",K135="",J135&lt;&gt;"FULL"),"",K135-H135)</x:f>
      </x:c>
      <x:c r="AB135" t="str">
        <x:f>IF(OR(A135="",M135&lt;&gt;"VERIFIED",H135="",H135&gt;=L135,J135="FULL",J135="UNASSESSABLE"),"",L135-H135)</x:f>
      </x:c>
      <x:c r="AC135" t="n">
        <x:f>IF(AND(A135&lt;&gt;"",M135="VERIFIED",N135="YES",H135&lt;&gt;"",H135&lt;L135,I135&lt;&gt;"UNASSESSABLE",I135&lt;&gt;"UNREVIEWED",I135&lt;&gt;"NOT_DUE"),1,0)</x:f>
        <x:v>0</x:v>
      </x:c>
      <x:c r="AD135" t="n">
        <x:f>IF(AND(AC135=1,I135="FULL"),1,0)</x:f>
        <x:v>0</x:v>
      </x:c>
      <x:c r="AE135" t="n">
        <x:f>IF(AND(AC135=1,OR(I135="FULL",J135="FULL")),1,0)</x:f>
        <x:v>0</x:v>
      </x:c>
      <x:c r="AF135" s="21"/>
    </x:row>
    <x:row r="136">
      <x:c r="H136" s="21"/>
      <x:c r="K136" s="21"/>
      <x:c r="L136" s="21"/>
      <x:c r="Z136" t="str">
        <x:f>IF(A136="","",IF(M136="EXCLUDED","EXCLUDED",IF(M136&lt;&gt;"VERIFIED","UNREVIEWED",IF(OR(H136="",I136="UNASSESSABLE",J136="UNASSESSABLE"),"UNSCORABLE",IF(H136&gt;=L136,IF(J136="FULL","CORRECT","PENDING"),IF(I136="FULL","CORRECT",IF(J136="FULL","LATE",IF(OR(I136="PARTIAL",J136="PARTIAL"),"PARTIAL","WRONG / MISSED"))))))))</x:f>
      </x:c>
      <x:c r="AA136" t="str">
        <x:f>IF(OR(A136="",M136&lt;&gt;"VERIFIED",H136="",K136="",J136&lt;&gt;"FULL"),"",K136-H136)</x:f>
      </x:c>
      <x:c r="AB136" t="str">
        <x:f>IF(OR(A136="",M136&lt;&gt;"VERIFIED",H136="",H136&gt;=L136,J136="FULL",J136="UNASSESSABLE"),"",L136-H136)</x:f>
      </x:c>
      <x:c r="AC136" t="n">
        <x:f>IF(AND(A136&lt;&gt;"",M136="VERIFIED",N136="YES",H136&lt;&gt;"",H136&lt;L136,I136&lt;&gt;"UNASSESSABLE",I136&lt;&gt;"UNREVIEWED",I136&lt;&gt;"NOT_DUE"),1,0)</x:f>
        <x:v>0</x:v>
      </x:c>
      <x:c r="AD136" t="n">
        <x:f>IF(AND(AC136=1,I136="FULL"),1,0)</x:f>
        <x:v>0</x:v>
      </x:c>
      <x:c r="AE136" t="n">
        <x:f>IF(AND(AC136=1,OR(I136="FULL",J136="FULL")),1,0)</x:f>
        <x:v>0</x:v>
      </x:c>
      <x:c r="AF136" s="21"/>
    </x:row>
    <x:row r="137">
      <x:c r="H137" s="21"/>
      <x:c r="K137" s="21"/>
      <x:c r="L137" s="21"/>
      <x:c r="Z137" t="str">
        <x:f>IF(A137="","",IF(M137="EXCLUDED","EXCLUDED",IF(M137&lt;&gt;"VERIFIED","UNREVIEWED",IF(OR(H137="",I137="UNASSESSABLE",J137="UNASSESSABLE"),"UNSCORABLE",IF(H137&gt;=L137,IF(J137="FULL","CORRECT","PENDING"),IF(I137="FULL","CORRECT",IF(J137="FULL","LATE",IF(OR(I137="PARTIAL",J137="PARTIAL"),"PARTIAL","WRONG / MISSED"))))))))</x:f>
      </x:c>
      <x:c r="AA137" t="str">
        <x:f>IF(OR(A137="",M137&lt;&gt;"VERIFIED",H137="",K137="",J137&lt;&gt;"FULL"),"",K137-H137)</x:f>
      </x:c>
      <x:c r="AB137" t="str">
        <x:f>IF(OR(A137="",M137&lt;&gt;"VERIFIED",H137="",H137&gt;=L137,J137="FULL",J137="UNASSESSABLE"),"",L137-H137)</x:f>
      </x:c>
      <x:c r="AC137" t="n">
        <x:f>IF(AND(A137&lt;&gt;"",M137="VERIFIED",N137="YES",H137&lt;&gt;"",H137&lt;L137,I137&lt;&gt;"UNASSESSABLE",I137&lt;&gt;"UNREVIEWED",I137&lt;&gt;"NOT_DUE"),1,0)</x:f>
        <x:v>0</x:v>
      </x:c>
      <x:c r="AD137" t="n">
        <x:f>IF(AND(AC137=1,I137="FULL"),1,0)</x:f>
        <x:v>0</x:v>
      </x:c>
      <x:c r="AE137" t="n">
        <x:f>IF(AND(AC137=1,OR(I137="FULL",J137="FULL")),1,0)</x:f>
        <x:v>0</x:v>
      </x:c>
      <x:c r="AF137" s="21"/>
    </x:row>
    <x:row r="138">
      <x:c r="H138" s="21"/>
      <x:c r="K138" s="21"/>
      <x:c r="L138" s="21"/>
      <x:c r="Z138" t="str">
        <x:f>IF(A138="","",IF(M138="EXCLUDED","EXCLUDED",IF(M138&lt;&gt;"VERIFIED","UNREVIEWED",IF(OR(H138="",I138="UNASSESSABLE",J138="UNASSESSABLE"),"UNSCORABLE",IF(H138&gt;=L138,IF(J138="FULL","CORRECT","PENDING"),IF(I138="FULL","CORRECT",IF(J138="FULL","LATE",IF(OR(I138="PARTIAL",J138="PARTIAL"),"PARTIAL","WRONG / MISSED"))))))))</x:f>
      </x:c>
      <x:c r="AA138" t="str">
        <x:f>IF(OR(A138="",M138&lt;&gt;"VERIFIED",H138="",K138="",J138&lt;&gt;"FULL"),"",K138-H138)</x:f>
      </x:c>
      <x:c r="AB138" t="str">
        <x:f>IF(OR(A138="",M138&lt;&gt;"VERIFIED",H138="",H138&gt;=L138,J138="FULL",J138="UNASSESSABLE"),"",L138-H138)</x:f>
      </x:c>
      <x:c r="AC138" t="n">
        <x:f>IF(AND(A138&lt;&gt;"",M138="VERIFIED",N138="YES",H138&lt;&gt;"",H138&lt;L138,I138&lt;&gt;"UNASSESSABLE",I138&lt;&gt;"UNREVIEWED",I138&lt;&gt;"NOT_DUE"),1,0)</x:f>
        <x:v>0</x:v>
      </x:c>
      <x:c r="AD138" t="n">
        <x:f>IF(AND(AC138=1,I138="FULL"),1,0)</x:f>
        <x:v>0</x:v>
      </x:c>
      <x:c r="AE138" t="n">
        <x:f>IF(AND(AC138=1,OR(I138="FULL",J138="FULL")),1,0)</x:f>
        <x:v>0</x:v>
      </x:c>
      <x:c r="AF138" s="21"/>
    </x:row>
    <x:row r="139">
      <x:c r="H139" s="21"/>
      <x:c r="K139" s="21"/>
      <x:c r="L139" s="21"/>
      <x:c r="Z139" t="str">
        <x:f>IF(A139="","",IF(M139="EXCLUDED","EXCLUDED",IF(M139&lt;&gt;"VERIFIED","UNREVIEWED",IF(OR(H139="",I139="UNASSESSABLE",J139="UNASSESSABLE"),"UNSCORABLE",IF(H139&gt;=L139,IF(J139="FULL","CORRECT","PENDING"),IF(I139="FULL","CORRECT",IF(J139="FULL","LATE",IF(OR(I139="PARTIAL",J139="PARTIAL"),"PARTIAL","WRONG / MISSED"))))))))</x:f>
      </x:c>
      <x:c r="AA139" t="str">
        <x:f>IF(OR(A139="",M139&lt;&gt;"VERIFIED",H139="",K139="",J139&lt;&gt;"FULL"),"",K139-H139)</x:f>
      </x:c>
      <x:c r="AB139" t="str">
        <x:f>IF(OR(A139="",M139&lt;&gt;"VERIFIED",H139="",H139&gt;=L139,J139="FULL",J139="UNASSESSABLE"),"",L139-H139)</x:f>
      </x:c>
      <x:c r="AC139" t="n">
        <x:f>IF(AND(A139&lt;&gt;"",M139="VERIFIED",N139="YES",H139&lt;&gt;"",H139&lt;L139,I139&lt;&gt;"UNASSESSABLE",I139&lt;&gt;"UNREVIEWED",I139&lt;&gt;"NOT_DUE"),1,0)</x:f>
        <x:v>0</x:v>
      </x:c>
      <x:c r="AD139" t="n">
        <x:f>IF(AND(AC139=1,I139="FULL"),1,0)</x:f>
        <x:v>0</x:v>
      </x:c>
      <x:c r="AE139" t="n">
        <x:f>IF(AND(AC139=1,OR(I139="FULL",J139="FULL")),1,0)</x:f>
        <x:v>0</x:v>
      </x:c>
      <x:c r="AF139" s="21"/>
    </x:row>
    <x:row r="140">
      <x:c r="H140" s="21"/>
      <x:c r="K140" s="21"/>
      <x:c r="L140" s="21"/>
      <x:c r="Z140" t="str">
        <x:f>IF(A140="","",IF(M140="EXCLUDED","EXCLUDED",IF(M140&lt;&gt;"VERIFIED","UNREVIEWED",IF(OR(H140="",I140="UNASSESSABLE",J140="UNASSESSABLE"),"UNSCORABLE",IF(H140&gt;=L140,IF(J140="FULL","CORRECT","PENDING"),IF(I140="FULL","CORRECT",IF(J140="FULL","LATE",IF(OR(I140="PARTIAL",J140="PARTIAL"),"PARTIAL","WRONG / MISSED"))))))))</x:f>
      </x:c>
      <x:c r="AA140" t="str">
        <x:f>IF(OR(A140="",M140&lt;&gt;"VERIFIED",H140="",K140="",J140&lt;&gt;"FULL"),"",K140-H140)</x:f>
      </x:c>
      <x:c r="AB140" t="str">
        <x:f>IF(OR(A140="",M140&lt;&gt;"VERIFIED",H140="",H140&gt;=L140,J140="FULL",J140="UNASSESSABLE"),"",L140-H140)</x:f>
      </x:c>
      <x:c r="AC140" t="n">
        <x:f>IF(AND(A140&lt;&gt;"",M140="VERIFIED",N140="YES",H140&lt;&gt;"",H140&lt;L140,I140&lt;&gt;"UNASSESSABLE",I140&lt;&gt;"UNREVIEWED",I140&lt;&gt;"NOT_DUE"),1,0)</x:f>
        <x:v>0</x:v>
      </x:c>
      <x:c r="AD140" t="n">
        <x:f>IF(AND(AC140=1,I140="FULL"),1,0)</x:f>
        <x:v>0</x:v>
      </x:c>
      <x:c r="AE140" t="n">
        <x:f>IF(AND(AC140=1,OR(I140="FULL",J140="FULL")),1,0)</x:f>
        <x:v>0</x:v>
      </x:c>
      <x:c r="AF140" s="21"/>
    </x:row>
    <x:row r="141">
      <x:c r="H141" s="21"/>
      <x:c r="K141" s="21"/>
      <x:c r="L141" s="21"/>
      <x:c r="Z141" t="str">
        <x:f>IF(A141="","",IF(M141="EXCLUDED","EXCLUDED",IF(M141&lt;&gt;"VERIFIED","UNREVIEWED",IF(OR(H141="",I141="UNASSESSABLE",J141="UNASSESSABLE"),"UNSCORABLE",IF(H141&gt;=L141,IF(J141="FULL","CORRECT","PENDING"),IF(I141="FULL","CORRECT",IF(J141="FULL","LATE",IF(OR(I141="PARTIAL",J141="PARTIAL"),"PARTIAL","WRONG / MISSED"))))))))</x:f>
      </x:c>
      <x:c r="AA141" t="str">
        <x:f>IF(OR(A141="",M141&lt;&gt;"VERIFIED",H141="",K141="",J141&lt;&gt;"FULL"),"",K141-H141)</x:f>
      </x:c>
      <x:c r="AB141" t="str">
        <x:f>IF(OR(A141="",M141&lt;&gt;"VERIFIED",H141="",H141&gt;=L141,J141="FULL",J141="UNASSESSABLE"),"",L141-H141)</x:f>
      </x:c>
      <x:c r="AC141" t="n">
        <x:f>IF(AND(A141&lt;&gt;"",M141="VERIFIED",N141="YES",H141&lt;&gt;"",H141&lt;L141,I141&lt;&gt;"UNASSESSABLE",I141&lt;&gt;"UNREVIEWED",I141&lt;&gt;"NOT_DUE"),1,0)</x:f>
        <x:v>0</x:v>
      </x:c>
      <x:c r="AD141" t="n">
        <x:f>IF(AND(AC141=1,I141="FULL"),1,0)</x:f>
        <x:v>0</x:v>
      </x:c>
      <x:c r="AE141" t="n">
        <x:f>IF(AND(AC141=1,OR(I141="FULL",J141="FULL")),1,0)</x:f>
        <x:v>0</x:v>
      </x:c>
      <x:c r="AF141" s="21"/>
    </x:row>
    <x:row r="142">
      <x:c r="H142" s="21"/>
      <x:c r="K142" s="21"/>
      <x:c r="L142" s="21"/>
      <x:c r="Z142" t="str">
        <x:f>IF(A142="","",IF(M142="EXCLUDED","EXCLUDED",IF(M142&lt;&gt;"VERIFIED","UNREVIEWED",IF(OR(H142="",I142="UNASSESSABLE",J142="UNASSESSABLE"),"UNSCORABLE",IF(H142&gt;=L142,IF(J142="FULL","CORRECT","PENDING"),IF(I142="FULL","CORRECT",IF(J142="FULL","LATE",IF(OR(I142="PARTIAL",J142="PARTIAL"),"PARTIAL","WRONG / MISSED"))))))))</x:f>
      </x:c>
      <x:c r="AA142" t="str">
        <x:f>IF(OR(A142="",M142&lt;&gt;"VERIFIED",H142="",K142="",J142&lt;&gt;"FULL"),"",K142-H142)</x:f>
      </x:c>
      <x:c r="AB142" t="str">
        <x:f>IF(OR(A142="",M142&lt;&gt;"VERIFIED",H142="",H142&gt;=L142,J142="FULL",J142="UNASSESSABLE"),"",L142-H142)</x:f>
      </x:c>
      <x:c r="AC142" t="n">
        <x:f>IF(AND(A142&lt;&gt;"",M142="VERIFIED",N142="YES",H142&lt;&gt;"",H142&lt;L142,I142&lt;&gt;"UNASSESSABLE",I142&lt;&gt;"UNREVIEWED",I142&lt;&gt;"NOT_DUE"),1,0)</x:f>
        <x:v>0</x:v>
      </x:c>
      <x:c r="AD142" t="n">
        <x:f>IF(AND(AC142=1,I142="FULL"),1,0)</x:f>
        <x:v>0</x:v>
      </x:c>
      <x:c r="AE142" t="n">
        <x:f>IF(AND(AC142=1,OR(I142="FULL",J142="FULL")),1,0)</x:f>
        <x:v>0</x:v>
      </x:c>
      <x:c r="AF142" s="21"/>
    </x:row>
    <x:row r="143">
      <x:c r="H143" s="21"/>
      <x:c r="K143" s="21"/>
      <x:c r="L143" s="21"/>
      <x:c r="Z143" t="str">
        <x:f>IF(A143="","",IF(M143="EXCLUDED","EXCLUDED",IF(M143&lt;&gt;"VERIFIED","UNREVIEWED",IF(OR(H143="",I143="UNASSESSABLE",J143="UNASSESSABLE"),"UNSCORABLE",IF(H143&gt;=L143,IF(J143="FULL","CORRECT","PENDING"),IF(I143="FULL","CORRECT",IF(J143="FULL","LATE",IF(OR(I143="PARTIAL",J143="PARTIAL"),"PARTIAL","WRONG / MISSED"))))))))</x:f>
      </x:c>
      <x:c r="AA143" t="str">
        <x:f>IF(OR(A143="",M143&lt;&gt;"VERIFIED",H143="",K143="",J143&lt;&gt;"FULL"),"",K143-H143)</x:f>
      </x:c>
      <x:c r="AB143" t="str">
        <x:f>IF(OR(A143="",M143&lt;&gt;"VERIFIED",H143="",H143&gt;=L143,J143="FULL",J143="UNASSESSABLE"),"",L143-H143)</x:f>
      </x:c>
      <x:c r="AC143" t="n">
        <x:f>IF(AND(A143&lt;&gt;"",M143="VERIFIED",N143="YES",H143&lt;&gt;"",H143&lt;L143,I143&lt;&gt;"UNASSESSABLE",I143&lt;&gt;"UNREVIEWED",I143&lt;&gt;"NOT_DUE"),1,0)</x:f>
        <x:v>0</x:v>
      </x:c>
      <x:c r="AD143" t="n">
        <x:f>IF(AND(AC143=1,I143="FULL"),1,0)</x:f>
        <x:v>0</x:v>
      </x:c>
      <x:c r="AE143" t="n">
        <x:f>IF(AND(AC143=1,OR(I143="FULL",J143="FULL")),1,0)</x:f>
        <x:v>0</x:v>
      </x:c>
      <x:c r="AF143" s="21"/>
    </x:row>
    <x:row r="144">
      <x:c r="H144" s="21"/>
      <x:c r="K144" s="21"/>
      <x:c r="L144" s="21"/>
      <x:c r="Z144" t="str">
        <x:f>IF(A144="","",IF(M144="EXCLUDED","EXCLUDED",IF(M144&lt;&gt;"VERIFIED","UNREVIEWED",IF(OR(H144="",I144="UNASSESSABLE",J144="UNASSESSABLE"),"UNSCORABLE",IF(H144&gt;=L144,IF(J144="FULL","CORRECT","PENDING"),IF(I144="FULL","CORRECT",IF(J144="FULL","LATE",IF(OR(I144="PARTIAL",J144="PARTIAL"),"PARTIAL","WRONG / MISSED"))))))))</x:f>
      </x:c>
      <x:c r="AA144" t="str">
        <x:f>IF(OR(A144="",M144&lt;&gt;"VERIFIED",H144="",K144="",J144&lt;&gt;"FULL"),"",K144-H144)</x:f>
      </x:c>
      <x:c r="AB144" t="str">
        <x:f>IF(OR(A144="",M144&lt;&gt;"VERIFIED",H144="",H144&gt;=L144,J144="FULL",J144="UNASSESSABLE"),"",L144-H144)</x:f>
      </x:c>
      <x:c r="AC144" t="n">
        <x:f>IF(AND(A144&lt;&gt;"",M144="VERIFIED",N144="YES",H144&lt;&gt;"",H144&lt;L144,I144&lt;&gt;"UNASSESSABLE",I144&lt;&gt;"UNREVIEWED",I144&lt;&gt;"NOT_DUE"),1,0)</x:f>
        <x:v>0</x:v>
      </x:c>
      <x:c r="AD144" t="n">
        <x:f>IF(AND(AC144=1,I144="FULL"),1,0)</x:f>
        <x:v>0</x:v>
      </x:c>
      <x:c r="AE144" t="n">
        <x:f>IF(AND(AC144=1,OR(I144="FULL",J144="FULL")),1,0)</x:f>
        <x:v>0</x:v>
      </x:c>
      <x:c r="AF144" s="21"/>
    </x:row>
    <x:row r="145">
      <x:c r="H145" s="21"/>
      <x:c r="K145" s="21"/>
      <x:c r="L145" s="21"/>
      <x:c r="Z145" t="str">
        <x:f>IF(A145="","",IF(M145="EXCLUDED","EXCLUDED",IF(M145&lt;&gt;"VERIFIED","UNREVIEWED",IF(OR(H145="",I145="UNASSESSABLE",J145="UNASSESSABLE"),"UNSCORABLE",IF(H145&gt;=L145,IF(J145="FULL","CORRECT","PENDING"),IF(I145="FULL","CORRECT",IF(J145="FULL","LATE",IF(OR(I145="PARTIAL",J145="PARTIAL"),"PARTIAL","WRONG / MISSED"))))))))</x:f>
      </x:c>
      <x:c r="AA145" t="str">
        <x:f>IF(OR(A145="",M145&lt;&gt;"VERIFIED",H145="",K145="",J145&lt;&gt;"FULL"),"",K145-H145)</x:f>
      </x:c>
      <x:c r="AB145" t="str">
        <x:f>IF(OR(A145="",M145&lt;&gt;"VERIFIED",H145="",H145&gt;=L145,J145="FULL",J145="UNASSESSABLE"),"",L145-H145)</x:f>
      </x:c>
      <x:c r="AC145" t="n">
        <x:f>IF(AND(A145&lt;&gt;"",M145="VERIFIED",N145="YES",H145&lt;&gt;"",H145&lt;L145,I145&lt;&gt;"UNASSESSABLE",I145&lt;&gt;"UNREVIEWED",I145&lt;&gt;"NOT_DUE"),1,0)</x:f>
        <x:v>0</x:v>
      </x:c>
      <x:c r="AD145" t="n">
        <x:f>IF(AND(AC145=1,I145="FULL"),1,0)</x:f>
        <x:v>0</x:v>
      </x:c>
      <x:c r="AE145" t="n">
        <x:f>IF(AND(AC145=1,OR(I145="FULL",J145="FULL")),1,0)</x:f>
        <x:v>0</x:v>
      </x:c>
      <x:c r="AF145" s="21"/>
    </x:row>
    <x:row r="146">
      <x:c r="H146" s="21"/>
      <x:c r="K146" s="21"/>
      <x:c r="L146" s="21"/>
      <x:c r="Z146" t="str">
        <x:f>IF(A146="","",IF(M146="EXCLUDED","EXCLUDED",IF(M146&lt;&gt;"VERIFIED","UNREVIEWED",IF(OR(H146="",I146="UNASSESSABLE",J146="UNASSESSABLE"),"UNSCORABLE",IF(H146&gt;=L146,IF(J146="FULL","CORRECT","PENDING"),IF(I146="FULL","CORRECT",IF(J146="FULL","LATE",IF(OR(I146="PARTIAL",J146="PARTIAL"),"PARTIAL","WRONG / MISSED"))))))))</x:f>
      </x:c>
      <x:c r="AA146" t="str">
        <x:f>IF(OR(A146="",M146&lt;&gt;"VERIFIED",H146="",K146="",J146&lt;&gt;"FULL"),"",K146-H146)</x:f>
      </x:c>
      <x:c r="AB146" t="str">
        <x:f>IF(OR(A146="",M146&lt;&gt;"VERIFIED",H146="",H146&gt;=L146,J146="FULL",J146="UNASSESSABLE"),"",L146-H146)</x:f>
      </x:c>
      <x:c r="AC146" t="n">
        <x:f>IF(AND(A146&lt;&gt;"",M146="VERIFIED",N146="YES",H146&lt;&gt;"",H146&lt;L146,I146&lt;&gt;"UNASSESSABLE",I146&lt;&gt;"UNREVIEWED",I146&lt;&gt;"NOT_DUE"),1,0)</x:f>
        <x:v>0</x:v>
      </x:c>
      <x:c r="AD146" t="n">
        <x:f>IF(AND(AC146=1,I146="FULL"),1,0)</x:f>
        <x:v>0</x:v>
      </x:c>
      <x:c r="AE146" t="n">
        <x:f>IF(AND(AC146=1,OR(I146="FULL",J146="FULL")),1,0)</x:f>
        <x:v>0</x:v>
      </x:c>
      <x:c r="AF146" s="21"/>
    </x:row>
    <x:row r="147">
      <x:c r="H147" s="21"/>
      <x:c r="K147" s="21"/>
      <x:c r="L147" s="21"/>
      <x:c r="Z147" t="str">
        <x:f>IF(A147="","",IF(M147="EXCLUDED","EXCLUDED",IF(M147&lt;&gt;"VERIFIED","UNREVIEWED",IF(OR(H147="",I147="UNASSESSABLE",J147="UNASSESSABLE"),"UNSCORABLE",IF(H147&gt;=L147,IF(J147="FULL","CORRECT","PENDING"),IF(I147="FULL","CORRECT",IF(J147="FULL","LATE",IF(OR(I147="PARTIAL",J147="PARTIAL"),"PARTIAL","WRONG / MISSED"))))))))</x:f>
      </x:c>
      <x:c r="AA147" t="str">
        <x:f>IF(OR(A147="",M147&lt;&gt;"VERIFIED",H147="",K147="",J147&lt;&gt;"FULL"),"",K147-H147)</x:f>
      </x:c>
      <x:c r="AB147" t="str">
        <x:f>IF(OR(A147="",M147&lt;&gt;"VERIFIED",H147="",H147&gt;=L147,J147="FULL",J147="UNASSESSABLE"),"",L147-H147)</x:f>
      </x:c>
      <x:c r="AC147" t="n">
        <x:f>IF(AND(A147&lt;&gt;"",M147="VERIFIED",N147="YES",H147&lt;&gt;"",H147&lt;L147,I147&lt;&gt;"UNASSESSABLE",I147&lt;&gt;"UNREVIEWED",I147&lt;&gt;"NOT_DUE"),1,0)</x:f>
        <x:v>0</x:v>
      </x:c>
      <x:c r="AD147" t="n">
        <x:f>IF(AND(AC147=1,I147="FULL"),1,0)</x:f>
        <x:v>0</x:v>
      </x:c>
      <x:c r="AE147" t="n">
        <x:f>IF(AND(AC147=1,OR(I147="FULL",J147="FULL")),1,0)</x:f>
        <x:v>0</x:v>
      </x:c>
      <x:c r="AF147" s="21"/>
    </x:row>
    <x:row r="148">
      <x:c r="H148" s="21"/>
      <x:c r="K148" s="21"/>
      <x:c r="L148" s="21"/>
      <x:c r="Z148" t="str">
        <x:f>IF(A148="","",IF(M148="EXCLUDED","EXCLUDED",IF(M148&lt;&gt;"VERIFIED","UNREVIEWED",IF(OR(H148="",I148="UNASSESSABLE",J148="UNASSESSABLE"),"UNSCORABLE",IF(H148&gt;=L148,IF(J148="FULL","CORRECT","PENDING"),IF(I148="FULL","CORRECT",IF(J148="FULL","LATE",IF(OR(I148="PARTIAL",J148="PARTIAL"),"PARTIAL","WRONG / MISSED"))))))))</x:f>
      </x:c>
      <x:c r="AA148" t="str">
        <x:f>IF(OR(A148="",M148&lt;&gt;"VERIFIED",H148="",K148="",J148&lt;&gt;"FULL"),"",K148-H148)</x:f>
      </x:c>
      <x:c r="AB148" t="str">
        <x:f>IF(OR(A148="",M148&lt;&gt;"VERIFIED",H148="",H148&gt;=L148,J148="FULL",J148="UNASSESSABLE"),"",L148-H148)</x:f>
      </x:c>
      <x:c r="AC148" t="n">
        <x:f>IF(AND(A148&lt;&gt;"",M148="VERIFIED",N148="YES",H148&lt;&gt;"",H148&lt;L148,I148&lt;&gt;"UNASSESSABLE",I148&lt;&gt;"UNREVIEWED",I148&lt;&gt;"NOT_DUE"),1,0)</x:f>
        <x:v>0</x:v>
      </x:c>
      <x:c r="AD148" t="n">
        <x:f>IF(AND(AC148=1,I148="FULL"),1,0)</x:f>
        <x:v>0</x:v>
      </x:c>
      <x:c r="AE148" t="n">
        <x:f>IF(AND(AC148=1,OR(I148="FULL",J148="FULL")),1,0)</x:f>
        <x:v>0</x:v>
      </x:c>
      <x:c r="AF148" s="21"/>
    </x:row>
    <x:row r="149">
      <x:c r="H149" s="21"/>
      <x:c r="K149" s="21"/>
      <x:c r="L149" s="21"/>
      <x:c r="Z149" t="str">
        <x:f>IF(A149="","",IF(M149="EXCLUDED","EXCLUDED",IF(M149&lt;&gt;"VERIFIED","UNREVIEWED",IF(OR(H149="",I149="UNASSESSABLE",J149="UNASSESSABLE"),"UNSCORABLE",IF(H149&gt;=L149,IF(J149="FULL","CORRECT","PENDING"),IF(I149="FULL","CORRECT",IF(J149="FULL","LATE",IF(OR(I149="PARTIAL",J149="PARTIAL"),"PARTIAL","WRONG / MISSED"))))))))</x:f>
      </x:c>
      <x:c r="AA149" t="str">
        <x:f>IF(OR(A149="",M149&lt;&gt;"VERIFIED",H149="",K149="",J149&lt;&gt;"FULL"),"",K149-H149)</x:f>
      </x:c>
      <x:c r="AB149" t="str">
        <x:f>IF(OR(A149="",M149&lt;&gt;"VERIFIED",H149="",H149&gt;=L149,J149="FULL",J149="UNASSESSABLE"),"",L149-H149)</x:f>
      </x:c>
      <x:c r="AC149" t="n">
        <x:f>IF(AND(A149&lt;&gt;"",M149="VERIFIED",N149="YES",H149&lt;&gt;"",H149&lt;L149,I149&lt;&gt;"UNASSESSABLE",I149&lt;&gt;"UNREVIEWED",I149&lt;&gt;"NOT_DUE"),1,0)</x:f>
        <x:v>0</x:v>
      </x:c>
      <x:c r="AD149" t="n">
        <x:f>IF(AND(AC149=1,I149="FULL"),1,0)</x:f>
        <x:v>0</x:v>
      </x:c>
      <x:c r="AE149" t="n">
        <x:f>IF(AND(AC149=1,OR(I149="FULL",J149="FULL")),1,0)</x:f>
        <x:v>0</x:v>
      </x:c>
      <x:c r="AF149" s="21"/>
    </x:row>
    <x:row r="150">
      <x:c r="H150" s="21"/>
      <x:c r="K150" s="21"/>
      <x:c r="L150" s="21"/>
      <x:c r="Z150" t="str">
        <x:f>IF(A150="","",IF(M150="EXCLUDED","EXCLUDED",IF(M150&lt;&gt;"VERIFIED","UNREVIEWED",IF(OR(H150="",I150="UNASSESSABLE",J150="UNASSESSABLE"),"UNSCORABLE",IF(H150&gt;=L150,IF(J150="FULL","CORRECT","PENDING"),IF(I150="FULL","CORRECT",IF(J150="FULL","LATE",IF(OR(I150="PARTIAL",J150="PARTIAL"),"PARTIAL","WRONG / MISSED"))))))))</x:f>
      </x:c>
      <x:c r="AA150" t="str">
        <x:f>IF(OR(A150="",M150&lt;&gt;"VERIFIED",H150="",K150="",J150&lt;&gt;"FULL"),"",K150-H150)</x:f>
      </x:c>
      <x:c r="AB150" t="str">
        <x:f>IF(OR(A150="",M150&lt;&gt;"VERIFIED",H150="",H150&gt;=L150,J150="FULL",J150="UNASSESSABLE"),"",L150-H150)</x:f>
      </x:c>
      <x:c r="AC150" t="n">
        <x:f>IF(AND(A150&lt;&gt;"",M150="VERIFIED",N150="YES",H150&lt;&gt;"",H150&lt;L150,I150&lt;&gt;"UNASSESSABLE",I150&lt;&gt;"UNREVIEWED",I150&lt;&gt;"NOT_DUE"),1,0)</x:f>
        <x:v>0</x:v>
      </x:c>
      <x:c r="AD150" t="n">
        <x:f>IF(AND(AC150=1,I150="FULL"),1,0)</x:f>
        <x:v>0</x:v>
      </x:c>
      <x:c r="AE150" t="n">
        <x:f>IF(AND(AC150=1,OR(I150="FULL",J150="FULL")),1,0)</x:f>
        <x:v>0</x:v>
      </x:c>
      <x:c r="AF150" s="21"/>
    </x:row>
    <x:row r="151">
      <x:c r="H151" s="21"/>
      <x:c r="K151" s="21"/>
      <x:c r="L151" s="21"/>
      <x:c r="Z151" t="str">
        <x:f>IF(A151="","",IF(M151="EXCLUDED","EXCLUDED",IF(M151&lt;&gt;"VERIFIED","UNREVIEWED",IF(OR(H151="",I151="UNASSESSABLE",J151="UNASSESSABLE"),"UNSCORABLE",IF(H151&gt;=L151,IF(J151="FULL","CORRECT","PENDING"),IF(I151="FULL","CORRECT",IF(J151="FULL","LATE",IF(OR(I151="PARTIAL",J151="PARTIAL"),"PARTIAL","WRONG / MISSED"))))))))</x:f>
      </x:c>
      <x:c r="AA151" t="str">
        <x:f>IF(OR(A151="",M151&lt;&gt;"VERIFIED",H151="",K151="",J151&lt;&gt;"FULL"),"",K151-H151)</x:f>
      </x:c>
      <x:c r="AB151" t="str">
        <x:f>IF(OR(A151="",M151&lt;&gt;"VERIFIED",H151="",H151&gt;=L151,J151="FULL",J151="UNASSESSABLE"),"",L151-H151)</x:f>
      </x:c>
      <x:c r="AC151" t="n">
        <x:f>IF(AND(A151&lt;&gt;"",M151="VERIFIED",N151="YES",H151&lt;&gt;"",H151&lt;L151,I151&lt;&gt;"UNASSESSABLE",I151&lt;&gt;"UNREVIEWED",I151&lt;&gt;"NOT_DUE"),1,0)</x:f>
        <x:v>0</x:v>
      </x:c>
      <x:c r="AD151" t="n">
        <x:f>IF(AND(AC151=1,I151="FULL"),1,0)</x:f>
        <x:v>0</x:v>
      </x:c>
      <x:c r="AE151" t="n">
        <x:f>IF(AND(AC151=1,OR(I151="FULL",J151="FULL")),1,0)</x:f>
        <x:v>0</x:v>
      </x:c>
      <x:c r="AF151" s="21"/>
    </x:row>
    <x:row r="152">
      <x:c r="H152" s="21"/>
      <x:c r="K152" s="21"/>
      <x:c r="L152" s="21"/>
      <x:c r="Z152" t="str">
        <x:f>IF(A152="","",IF(M152="EXCLUDED","EXCLUDED",IF(M152&lt;&gt;"VERIFIED","UNREVIEWED",IF(OR(H152="",I152="UNASSESSABLE",J152="UNASSESSABLE"),"UNSCORABLE",IF(H152&gt;=L152,IF(J152="FULL","CORRECT","PENDING"),IF(I152="FULL","CORRECT",IF(J152="FULL","LATE",IF(OR(I152="PARTIAL",J152="PARTIAL"),"PARTIAL","WRONG / MISSED"))))))))</x:f>
      </x:c>
      <x:c r="AA152" t="str">
        <x:f>IF(OR(A152="",M152&lt;&gt;"VERIFIED",H152="",K152="",J152&lt;&gt;"FULL"),"",K152-H152)</x:f>
      </x:c>
      <x:c r="AB152" t="str">
        <x:f>IF(OR(A152="",M152&lt;&gt;"VERIFIED",H152="",H152&gt;=L152,J152="FULL",J152="UNASSESSABLE"),"",L152-H152)</x:f>
      </x:c>
      <x:c r="AC152" t="n">
        <x:f>IF(AND(A152&lt;&gt;"",M152="VERIFIED",N152="YES",H152&lt;&gt;"",H152&lt;L152,I152&lt;&gt;"UNASSESSABLE",I152&lt;&gt;"UNREVIEWED",I152&lt;&gt;"NOT_DUE"),1,0)</x:f>
        <x:v>0</x:v>
      </x:c>
      <x:c r="AD152" t="n">
        <x:f>IF(AND(AC152=1,I152="FULL"),1,0)</x:f>
        <x:v>0</x:v>
      </x:c>
      <x:c r="AE152" t="n">
        <x:f>IF(AND(AC152=1,OR(I152="FULL",J152="FULL")),1,0)</x:f>
        <x:v>0</x:v>
      </x:c>
      <x:c r="AF152" s="21"/>
    </x:row>
    <x:row r="153">
      <x:c r="H153" s="21"/>
      <x:c r="K153" s="21"/>
      <x:c r="L153" s="21"/>
      <x:c r="Z153" t="str">
        <x:f>IF(A153="","",IF(M153="EXCLUDED","EXCLUDED",IF(M153&lt;&gt;"VERIFIED","UNREVIEWED",IF(OR(H153="",I153="UNASSESSABLE",J153="UNASSESSABLE"),"UNSCORABLE",IF(H153&gt;=L153,IF(J153="FULL","CORRECT","PENDING"),IF(I153="FULL","CORRECT",IF(J153="FULL","LATE",IF(OR(I153="PARTIAL",J153="PARTIAL"),"PARTIAL","WRONG / MISSED"))))))))</x:f>
      </x:c>
      <x:c r="AA153" t="str">
        <x:f>IF(OR(A153="",M153&lt;&gt;"VERIFIED",H153="",K153="",J153&lt;&gt;"FULL"),"",K153-H153)</x:f>
      </x:c>
      <x:c r="AB153" t="str">
        <x:f>IF(OR(A153="",M153&lt;&gt;"VERIFIED",H153="",H153&gt;=L153,J153="FULL",J153="UNASSESSABLE"),"",L153-H153)</x:f>
      </x:c>
      <x:c r="AC153" t="n">
        <x:f>IF(AND(A153&lt;&gt;"",M153="VERIFIED",N153="YES",H153&lt;&gt;"",H153&lt;L153,I153&lt;&gt;"UNASSESSABLE",I153&lt;&gt;"UNREVIEWED",I153&lt;&gt;"NOT_DUE"),1,0)</x:f>
        <x:v>0</x:v>
      </x:c>
      <x:c r="AD153" t="n">
        <x:f>IF(AND(AC153=1,I153="FULL"),1,0)</x:f>
        <x:v>0</x:v>
      </x:c>
      <x:c r="AE153" t="n">
        <x:f>IF(AND(AC153=1,OR(I153="FULL",J153="FULL")),1,0)</x:f>
        <x:v>0</x:v>
      </x:c>
      <x:c r="AF153" s="21"/>
    </x:row>
    <x:row r="154">
      <x:c r="H154" s="21"/>
      <x:c r="K154" s="21"/>
      <x:c r="L154" s="21"/>
      <x:c r="Z154" t="str">
        <x:f>IF(A154="","",IF(M154="EXCLUDED","EXCLUDED",IF(M154&lt;&gt;"VERIFIED","UNREVIEWED",IF(OR(H154="",I154="UNASSESSABLE",J154="UNASSESSABLE"),"UNSCORABLE",IF(H154&gt;=L154,IF(J154="FULL","CORRECT","PENDING"),IF(I154="FULL","CORRECT",IF(J154="FULL","LATE",IF(OR(I154="PARTIAL",J154="PARTIAL"),"PARTIAL","WRONG / MISSED"))))))))</x:f>
      </x:c>
      <x:c r="AA154" t="str">
        <x:f>IF(OR(A154="",M154&lt;&gt;"VERIFIED",H154="",K154="",J154&lt;&gt;"FULL"),"",K154-H154)</x:f>
      </x:c>
      <x:c r="AB154" t="str">
        <x:f>IF(OR(A154="",M154&lt;&gt;"VERIFIED",H154="",H154&gt;=L154,J154="FULL",J154="UNASSESSABLE"),"",L154-H154)</x:f>
      </x:c>
      <x:c r="AC154" t="n">
        <x:f>IF(AND(A154&lt;&gt;"",M154="VERIFIED",N154="YES",H154&lt;&gt;"",H154&lt;L154,I154&lt;&gt;"UNASSESSABLE",I154&lt;&gt;"UNREVIEWED",I154&lt;&gt;"NOT_DUE"),1,0)</x:f>
        <x:v>0</x:v>
      </x:c>
      <x:c r="AD154" t="n">
        <x:f>IF(AND(AC154=1,I154="FULL"),1,0)</x:f>
        <x:v>0</x:v>
      </x:c>
      <x:c r="AE154" t="n">
        <x:f>IF(AND(AC154=1,OR(I154="FULL",J154="FULL")),1,0)</x:f>
        <x:v>0</x:v>
      </x:c>
      <x:c r="AF154" s="21"/>
    </x:row>
    <x:row r="155">
      <x:c r="H155" s="21"/>
      <x:c r="K155" s="21"/>
      <x:c r="L155" s="21"/>
      <x:c r="Z155" t="str">
        <x:f>IF(A155="","",IF(M155="EXCLUDED","EXCLUDED",IF(M155&lt;&gt;"VERIFIED","UNREVIEWED",IF(OR(H155="",I155="UNASSESSABLE",J155="UNASSESSABLE"),"UNSCORABLE",IF(H155&gt;=L155,IF(J155="FULL","CORRECT","PENDING"),IF(I155="FULL","CORRECT",IF(J155="FULL","LATE",IF(OR(I155="PARTIAL",J155="PARTIAL"),"PARTIAL","WRONG / MISSED"))))))))</x:f>
      </x:c>
      <x:c r="AA155" t="str">
        <x:f>IF(OR(A155="",M155&lt;&gt;"VERIFIED",H155="",K155="",J155&lt;&gt;"FULL"),"",K155-H155)</x:f>
      </x:c>
      <x:c r="AB155" t="str">
        <x:f>IF(OR(A155="",M155&lt;&gt;"VERIFIED",H155="",H155&gt;=L155,J155="FULL",J155="UNASSESSABLE"),"",L155-H155)</x:f>
      </x:c>
      <x:c r="AC155" t="n">
        <x:f>IF(AND(A155&lt;&gt;"",M155="VERIFIED",N155="YES",H155&lt;&gt;"",H155&lt;L155,I155&lt;&gt;"UNASSESSABLE",I155&lt;&gt;"UNREVIEWED",I155&lt;&gt;"NOT_DUE"),1,0)</x:f>
        <x:v>0</x:v>
      </x:c>
      <x:c r="AD155" t="n">
        <x:f>IF(AND(AC155=1,I155="FULL"),1,0)</x:f>
        <x:v>0</x:v>
      </x:c>
      <x:c r="AE155" t="n">
        <x:f>IF(AND(AC155=1,OR(I155="FULL",J155="FULL")),1,0)</x:f>
        <x:v>0</x:v>
      </x:c>
      <x:c r="AF155" s="21"/>
    </x:row>
    <x:row r="156">
      <x:c r="H156" s="21"/>
      <x:c r="K156" s="21"/>
      <x:c r="L156" s="21"/>
      <x:c r="Z156" t="str">
        <x:f>IF(A156="","",IF(M156="EXCLUDED","EXCLUDED",IF(M156&lt;&gt;"VERIFIED","UNREVIEWED",IF(OR(H156="",I156="UNASSESSABLE",J156="UNASSESSABLE"),"UNSCORABLE",IF(H156&gt;=L156,IF(J156="FULL","CORRECT","PENDING"),IF(I156="FULL","CORRECT",IF(J156="FULL","LATE",IF(OR(I156="PARTIAL",J156="PARTIAL"),"PARTIAL","WRONG / MISSED"))))))))</x:f>
      </x:c>
      <x:c r="AA156" t="str">
        <x:f>IF(OR(A156="",M156&lt;&gt;"VERIFIED",H156="",K156="",J156&lt;&gt;"FULL"),"",K156-H156)</x:f>
      </x:c>
      <x:c r="AB156" t="str">
        <x:f>IF(OR(A156="",M156&lt;&gt;"VERIFIED",H156="",H156&gt;=L156,J156="FULL",J156="UNASSESSABLE"),"",L156-H156)</x:f>
      </x:c>
      <x:c r="AC156" t="n">
        <x:f>IF(AND(A156&lt;&gt;"",M156="VERIFIED",N156="YES",H156&lt;&gt;"",H156&lt;L156,I156&lt;&gt;"UNASSESSABLE",I156&lt;&gt;"UNREVIEWED",I156&lt;&gt;"NOT_DUE"),1,0)</x:f>
        <x:v>0</x:v>
      </x:c>
      <x:c r="AD156" t="n">
        <x:f>IF(AND(AC156=1,I156="FULL"),1,0)</x:f>
        <x:v>0</x:v>
      </x:c>
      <x:c r="AE156" t="n">
        <x:f>IF(AND(AC156=1,OR(I156="FULL",J156="FULL")),1,0)</x:f>
        <x:v>0</x:v>
      </x:c>
      <x:c r="AF156" s="21"/>
    </x:row>
    <x:row r="157">
      <x:c r="H157" s="21"/>
      <x:c r="K157" s="21"/>
      <x:c r="L157" s="21"/>
      <x:c r="Z157" t="str">
        <x:f>IF(A157="","",IF(M157="EXCLUDED","EXCLUDED",IF(M157&lt;&gt;"VERIFIED","UNREVIEWED",IF(OR(H157="",I157="UNASSESSABLE",J157="UNASSESSABLE"),"UNSCORABLE",IF(H157&gt;=L157,IF(J157="FULL","CORRECT","PENDING"),IF(I157="FULL","CORRECT",IF(J157="FULL","LATE",IF(OR(I157="PARTIAL",J157="PARTIAL"),"PARTIAL","WRONG / MISSED"))))))))</x:f>
      </x:c>
      <x:c r="AA157" t="str">
        <x:f>IF(OR(A157="",M157&lt;&gt;"VERIFIED",H157="",K157="",J157&lt;&gt;"FULL"),"",K157-H157)</x:f>
      </x:c>
      <x:c r="AB157" t="str">
        <x:f>IF(OR(A157="",M157&lt;&gt;"VERIFIED",H157="",H157&gt;=L157,J157="FULL",J157="UNASSESSABLE"),"",L157-H157)</x:f>
      </x:c>
      <x:c r="AC157" t="n">
        <x:f>IF(AND(A157&lt;&gt;"",M157="VERIFIED",N157="YES",H157&lt;&gt;"",H157&lt;L157,I157&lt;&gt;"UNASSESSABLE",I157&lt;&gt;"UNREVIEWED",I157&lt;&gt;"NOT_DUE"),1,0)</x:f>
        <x:v>0</x:v>
      </x:c>
      <x:c r="AD157" t="n">
        <x:f>IF(AND(AC157=1,I157="FULL"),1,0)</x:f>
        <x:v>0</x:v>
      </x:c>
      <x:c r="AE157" t="n">
        <x:f>IF(AND(AC157=1,OR(I157="FULL",J157="FULL")),1,0)</x:f>
        <x:v>0</x:v>
      </x:c>
      <x:c r="AF157" s="21"/>
    </x:row>
    <x:row r="158">
      <x:c r="H158" s="21"/>
      <x:c r="K158" s="21"/>
      <x:c r="L158" s="21"/>
      <x:c r="Z158" t="str">
        <x:f>IF(A158="","",IF(M158="EXCLUDED","EXCLUDED",IF(M158&lt;&gt;"VERIFIED","UNREVIEWED",IF(OR(H158="",I158="UNASSESSABLE",J158="UNASSESSABLE"),"UNSCORABLE",IF(H158&gt;=L158,IF(J158="FULL","CORRECT","PENDING"),IF(I158="FULL","CORRECT",IF(J158="FULL","LATE",IF(OR(I158="PARTIAL",J158="PARTIAL"),"PARTIAL","WRONG / MISSED"))))))))</x:f>
      </x:c>
      <x:c r="AA158" t="str">
        <x:f>IF(OR(A158="",M158&lt;&gt;"VERIFIED",H158="",K158="",J158&lt;&gt;"FULL"),"",K158-H158)</x:f>
      </x:c>
      <x:c r="AB158" t="str">
        <x:f>IF(OR(A158="",M158&lt;&gt;"VERIFIED",H158="",H158&gt;=L158,J158="FULL",J158="UNASSESSABLE"),"",L158-H158)</x:f>
      </x:c>
      <x:c r="AC158" t="n">
        <x:f>IF(AND(A158&lt;&gt;"",M158="VERIFIED",N158="YES",H158&lt;&gt;"",H158&lt;L158,I158&lt;&gt;"UNASSESSABLE",I158&lt;&gt;"UNREVIEWED",I158&lt;&gt;"NOT_DUE"),1,0)</x:f>
        <x:v>0</x:v>
      </x:c>
      <x:c r="AD158" t="n">
        <x:f>IF(AND(AC158=1,I158="FULL"),1,0)</x:f>
        <x:v>0</x:v>
      </x:c>
      <x:c r="AE158" t="n">
        <x:f>IF(AND(AC158=1,OR(I158="FULL",J158="FULL")),1,0)</x:f>
        <x:v>0</x:v>
      </x:c>
      <x:c r="AF158" s="21"/>
    </x:row>
    <x:row r="159">
      <x:c r="H159" s="21"/>
      <x:c r="K159" s="21"/>
      <x:c r="L159" s="21"/>
      <x:c r="Z159" t="str">
        <x:f>IF(A159="","",IF(M159="EXCLUDED","EXCLUDED",IF(M159&lt;&gt;"VERIFIED","UNREVIEWED",IF(OR(H159="",I159="UNASSESSABLE",J159="UNASSESSABLE"),"UNSCORABLE",IF(H159&gt;=L159,IF(J159="FULL","CORRECT","PENDING"),IF(I159="FULL","CORRECT",IF(J159="FULL","LATE",IF(OR(I159="PARTIAL",J159="PARTIAL"),"PARTIAL","WRONG / MISSED"))))))))</x:f>
      </x:c>
      <x:c r="AA159" t="str">
        <x:f>IF(OR(A159="",M159&lt;&gt;"VERIFIED",H159="",K159="",J159&lt;&gt;"FULL"),"",K159-H159)</x:f>
      </x:c>
      <x:c r="AB159" t="str">
        <x:f>IF(OR(A159="",M159&lt;&gt;"VERIFIED",H159="",H159&gt;=L159,J159="FULL",J159="UNASSESSABLE"),"",L159-H159)</x:f>
      </x:c>
      <x:c r="AC159" t="n">
        <x:f>IF(AND(A159&lt;&gt;"",M159="VERIFIED",N159="YES",H159&lt;&gt;"",H159&lt;L159,I159&lt;&gt;"UNASSESSABLE",I159&lt;&gt;"UNREVIEWED",I159&lt;&gt;"NOT_DUE"),1,0)</x:f>
        <x:v>0</x:v>
      </x:c>
      <x:c r="AD159" t="n">
        <x:f>IF(AND(AC159=1,I159="FULL"),1,0)</x:f>
        <x:v>0</x:v>
      </x:c>
      <x:c r="AE159" t="n">
        <x:f>IF(AND(AC159=1,OR(I159="FULL",J159="FULL")),1,0)</x:f>
        <x:v>0</x:v>
      </x:c>
      <x:c r="AF159" s="21"/>
    </x:row>
    <x:row r="160">
      <x:c r="H160" s="21"/>
      <x:c r="K160" s="21"/>
      <x:c r="L160" s="21"/>
      <x:c r="Z160" t="str">
        <x:f>IF(A160="","",IF(M160="EXCLUDED","EXCLUDED",IF(M160&lt;&gt;"VERIFIED","UNREVIEWED",IF(OR(H160="",I160="UNASSESSABLE",J160="UNASSESSABLE"),"UNSCORABLE",IF(H160&gt;=L160,IF(J160="FULL","CORRECT","PENDING"),IF(I160="FULL","CORRECT",IF(J160="FULL","LATE",IF(OR(I160="PARTIAL",J160="PARTIAL"),"PARTIAL","WRONG / MISSED"))))))))</x:f>
      </x:c>
      <x:c r="AA160" t="str">
        <x:f>IF(OR(A160="",M160&lt;&gt;"VERIFIED",H160="",K160="",J160&lt;&gt;"FULL"),"",K160-H160)</x:f>
      </x:c>
      <x:c r="AB160" t="str">
        <x:f>IF(OR(A160="",M160&lt;&gt;"VERIFIED",H160="",H160&gt;=L160,J160="FULL",J160="UNASSESSABLE"),"",L160-H160)</x:f>
      </x:c>
      <x:c r="AC160" t="n">
        <x:f>IF(AND(A160&lt;&gt;"",M160="VERIFIED",N160="YES",H160&lt;&gt;"",H160&lt;L160,I160&lt;&gt;"UNASSESSABLE",I160&lt;&gt;"UNREVIEWED",I160&lt;&gt;"NOT_DUE"),1,0)</x:f>
        <x:v>0</x:v>
      </x:c>
      <x:c r="AD160" t="n">
        <x:f>IF(AND(AC160=1,I160="FULL"),1,0)</x:f>
        <x:v>0</x:v>
      </x:c>
      <x:c r="AE160" t="n">
        <x:f>IF(AND(AC160=1,OR(I160="FULL",J160="FULL")),1,0)</x:f>
        <x:v>0</x:v>
      </x:c>
      <x:c r="AF160" s="21"/>
    </x:row>
    <x:row r="161">
      <x:c r="H161" s="21"/>
      <x:c r="K161" s="21"/>
      <x:c r="L161" s="21"/>
      <x:c r="Z161" t="str">
        <x:f>IF(A161="","",IF(M161="EXCLUDED","EXCLUDED",IF(M161&lt;&gt;"VERIFIED","UNREVIEWED",IF(OR(H161="",I161="UNASSESSABLE",J161="UNASSESSABLE"),"UNSCORABLE",IF(H161&gt;=L161,IF(J161="FULL","CORRECT","PENDING"),IF(I161="FULL","CORRECT",IF(J161="FULL","LATE",IF(OR(I161="PARTIAL",J161="PARTIAL"),"PARTIAL","WRONG / MISSED"))))))))</x:f>
      </x:c>
      <x:c r="AA161" t="str">
        <x:f>IF(OR(A161="",M161&lt;&gt;"VERIFIED",H161="",K161="",J161&lt;&gt;"FULL"),"",K161-H161)</x:f>
      </x:c>
      <x:c r="AB161" t="str">
        <x:f>IF(OR(A161="",M161&lt;&gt;"VERIFIED",H161="",H161&gt;=L161,J161="FULL",J161="UNASSESSABLE"),"",L161-H161)</x:f>
      </x:c>
      <x:c r="AC161" t="n">
        <x:f>IF(AND(A161&lt;&gt;"",M161="VERIFIED",N161="YES",H161&lt;&gt;"",H161&lt;L161,I161&lt;&gt;"UNASSESSABLE",I161&lt;&gt;"UNREVIEWED",I161&lt;&gt;"NOT_DUE"),1,0)</x:f>
        <x:v>0</x:v>
      </x:c>
      <x:c r="AD161" t="n">
        <x:f>IF(AND(AC161=1,I161="FULL"),1,0)</x:f>
        <x:v>0</x:v>
      </x:c>
      <x:c r="AE161" t="n">
        <x:f>IF(AND(AC161=1,OR(I161="FULL",J161="FULL")),1,0)</x:f>
        <x:v>0</x:v>
      </x:c>
      <x:c r="AF161" s="21"/>
    </x:row>
    <x:row r="162">
      <x:c r="H162" s="21"/>
      <x:c r="K162" s="21"/>
      <x:c r="L162" s="21"/>
      <x:c r="Z162" t="str">
        <x:f>IF(A162="","",IF(M162="EXCLUDED","EXCLUDED",IF(M162&lt;&gt;"VERIFIED","UNREVIEWED",IF(OR(H162="",I162="UNASSESSABLE",J162="UNASSESSABLE"),"UNSCORABLE",IF(H162&gt;=L162,IF(J162="FULL","CORRECT","PENDING"),IF(I162="FULL","CORRECT",IF(J162="FULL","LATE",IF(OR(I162="PARTIAL",J162="PARTIAL"),"PARTIAL","WRONG / MISSED"))))))))</x:f>
      </x:c>
      <x:c r="AA162" t="str">
        <x:f>IF(OR(A162="",M162&lt;&gt;"VERIFIED",H162="",K162="",J162&lt;&gt;"FULL"),"",K162-H162)</x:f>
      </x:c>
      <x:c r="AB162" t="str">
        <x:f>IF(OR(A162="",M162&lt;&gt;"VERIFIED",H162="",H162&gt;=L162,J162="FULL",J162="UNASSESSABLE"),"",L162-H162)</x:f>
      </x:c>
      <x:c r="AC162" t="n">
        <x:f>IF(AND(A162&lt;&gt;"",M162="VERIFIED",N162="YES",H162&lt;&gt;"",H162&lt;L162,I162&lt;&gt;"UNASSESSABLE",I162&lt;&gt;"UNREVIEWED",I162&lt;&gt;"NOT_DUE"),1,0)</x:f>
        <x:v>0</x:v>
      </x:c>
      <x:c r="AD162" t="n">
        <x:f>IF(AND(AC162=1,I162="FULL"),1,0)</x:f>
        <x:v>0</x:v>
      </x:c>
      <x:c r="AE162" t="n">
        <x:f>IF(AND(AC162=1,OR(I162="FULL",J162="FULL")),1,0)</x:f>
        <x:v>0</x:v>
      </x:c>
      <x:c r="AF162" s="21"/>
    </x:row>
    <x:row r="163">
      <x:c r="H163" s="21"/>
      <x:c r="K163" s="21"/>
      <x:c r="L163" s="21"/>
      <x:c r="Z163" t="str">
        <x:f>IF(A163="","",IF(M163="EXCLUDED","EXCLUDED",IF(M163&lt;&gt;"VERIFIED","UNREVIEWED",IF(OR(H163="",I163="UNASSESSABLE",J163="UNASSESSABLE"),"UNSCORABLE",IF(H163&gt;=L163,IF(J163="FULL","CORRECT","PENDING"),IF(I163="FULL","CORRECT",IF(J163="FULL","LATE",IF(OR(I163="PARTIAL",J163="PARTIAL"),"PARTIAL","WRONG / MISSED"))))))))</x:f>
      </x:c>
      <x:c r="AA163" t="str">
        <x:f>IF(OR(A163="",M163&lt;&gt;"VERIFIED",H163="",K163="",J163&lt;&gt;"FULL"),"",K163-H163)</x:f>
      </x:c>
      <x:c r="AB163" t="str">
        <x:f>IF(OR(A163="",M163&lt;&gt;"VERIFIED",H163="",H163&gt;=L163,J163="FULL",J163="UNASSESSABLE"),"",L163-H163)</x:f>
      </x:c>
      <x:c r="AC163" t="n">
        <x:f>IF(AND(A163&lt;&gt;"",M163="VERIFIED",N163="YES",H163&lt;&gt;"",H163&lt;L163,I163&lt;&gt;"UNASSESSABLE",I163&lt;&gt;"UNREVIEWED",I163&lt;&gt;"NOT_DUE"),1,0)</x:f>
        <x:v>0</x:v>
      </x:c>
      <x:c r="AD163" t="n">
        <x:f>IF(AND(AC163=1,I163="FULL"),1,0)</x:f>
        <x:v>0</x:v>
      </x:c>
      <x:c r="AE163" t="n">
        <x:f>IF(AND(AC163=1,OR(I163="FULL",J163="FULL")),1,0)</x:f>
        <x:v>0</x:v>
      </x:c>
      <x:c r="AF163" s="21"/>
    </x:row>
    <x:row r="164">
      <x:c r="H164" s="21"/>
      <x:c r="K164" s="21"/>
      <x:c r="L164" s="21"/>
      <x:c r="Z164" t="str">
        <x:f>IF(A164="","",IF(M164="EXCLUDED","EXCLUDED",IF(M164&lt;&gt;"VERIFIED","UNREVIEWED",IF(OR(H164="",I164="UNASSESSABLE",J164="UNASSESSABLE"),"UNSCORABLE",IF(H164&gt;=L164,IF(J164="FULL","CORRECT","PENDING"),IF(I164="FULL","CORRECT",IF(J164="FULL","LATE",IF(OR(I164="PARTIAL",J164="PARTIAL"),"PARTIAL","WRONG / MISSED"))))))))</x:f>
      </x:c>
      <x:c r="AA164" t="str">
        <x:f>IF(OR(A164="",M164&lt;&gt;"VERIFIED",H164="",K164="",J164&lt;&gt;"FULL"),"",K164-H164)</x:f>
      </x:c>
      <x:c r="AB164" t="str">
        <x:f>IF(OR(A164="",M164&lt;&gt;"VERIFIED",H164="",H164&gt;=L164,J164="FULL",J164="UNASSESSABLE"),"",L164-H164)</x:f>
      </x:c>
      <x:c r="AC164" t="n">
        <x:f>IF(AND(A164&lt;&gt;"",M164="VERIFIED",N164="YES",H164&lt;&gt;"",H164&lt;L164,I164&lt;&gt;"UNASSESSABLE",I164&lt;&gt;"UNREVIEWED",I164&lt;&gt;"NOT_DUE"),1,0)</x:f>
        <x:v>0</x:v>
      </x:c>
      <x:c r="AD164" t="n">
        <x:f>IF(AND(AC164=1,I164="FULL"),1,0)</x:f>
        <x:v>0</x:v>
      </x:c>
      <x:c r="AE164" t="n">
        <x:f>IF(AND(AC164=1,OR(I164="FULL",J164="FULL")),1,0)</x:f>
        <x:v>0</x:v>
      </x:c>
      <x:c r="AF164" s="21"/>
    </x:row>
    <x:row r="165">
      <x:c r="H165" s="21"/>
      <x:c r="K165" s="21"/>
      <x:c r="L165" s="21"/>
      <x:c r="Z165" t="str">
        <x:f>IF(A165="","",IF(M165="EXCLUDED","EXCLUDED",IF(M165&lt;&gt;"VERIFIED","UNREVIEWED",IF(OR(H165="",I165="UNASSESSABLE",J165="UNASSESSABLE"),"UNSCORABLE",IF(H165&gt;=L165,IF(J165="FULL","CORRECT","PENDING"),IF(I165="FULL","CORRECT",IF(J165="FULL","LATE",IF(OR(I165="PARTIAL",J165="PARTIAL"),"PARTIAL","WRONG / MISSED"))))))))</x:f>
      </x:c>
      <x:c r="AA165" t="str">
        <x:f>IF(OR(A165="",M165&lt;&gt;"VERIFIED",H165="",K165="",J165&lt;&gt;"FULL"),"",K165-H165)</x:f>
      </x:c>
      <x:c r="AB165" t="str">
        <x:f>IF(OR(A165="",M165&lt;&gt;"VERIFIED",H165="",H165&gt;=L165,J165="FULL",J165="UNASSESSABLE"),"",L165-H165)</x:f>
      </x:c>
      <x:c r="AC165" t="n">
        <x:f>IF(AND(A165&lt;&gt;"",M165="VERIFIED",N165="YES",H165&lt;&gt;"",H165&lt;L165,I165&lt;&gt;"UNASSESSABLE",I165&lt;&gt;"UNREVIEWED",I165&lt;&gt;"NOT_DUE"),1,0)</x:f>
        <x:v>0</x:v>
      </x:c>
      <x:c r="AD165" t="n">
        <x:f>IF(AND(AC165=1,I165="FULL"),1,0)</x:f>
        <x:v>0</x:v>
      </x:c>
      <x:c r="AE165" t="n">
        <x:f>IF(AND(AC165=1,OR(I165="FULL",J165="FULL")),1,0)</x:f>
        <x:v>0</x:v>
      </x:c>
      <x:c r="AF165" s="21"/>
    </x:row>
    <x:row r="166">
      <x:c r="H166" s="21"/>
      <x:c r="K166" s="21"/>
      <x:c r="L166" s="21"/>
      <x:c r="Z166" t="str">
        <x:f>IF(A166="","",IF(M166="EXCLUDED","EXCLUDED",IF(M166&lt;&gt;"VERIFIED","UNREVIEWED",IF(OR(H166="",I166="UNASSESSABLE",J166="UNASSESSABLE"),"UNSCORABLE",IF(H166&gt;=L166,IF(J166="FULL","CORRECT","PENDING"),IF(I166="FULL","CORRECT",IF(J166="FULL","LATE",IF(OR(I166="PARTIAL",J166="PARTIAL"),"PARTIAL","WRONG / MISSED"))))))))</x:f>
      </x:c>
      <x:c r="AA166" t="str">
        <x:f>IF(OR(A166="",M166&lt;&gt;"VERIFIED",H166="",K166="",J166&lt;&gt;"FULL"),"",K166-H166)</x:f>
      </x:c>
      <x:c r="AB166" t="str">
        <x:f>IF(OR(A166="",M166&lt;&gt;"VERIFIED",H166="",H166&gt;=L166,J166="FULL",J166="UNASSESSABLE"),"",L166-H166)</x:f>
      </x:c>
      <x:c r="AC166" t="n">
        <x:f>IF(AND(A166&lt;&gt;"",M166="VERIFIED",N166="YES",H166&lt;&gt;"",H166&lt;L166,I166&lt;&gt;"UNASSESSABLE",I166&lt;&gt;"UNREVIEWED",I166&lt;&gt;"NOT_DUE"),1,0)</x:f>
        <x:v>0</x:v>
      </x:c>
      <x:c r="AD166" t="n">
        <x:f>IF(AND(AC166=1,I166="FULL"),1,0)</x:f>
        <x:v>0</x:v>
      </x:c>
      <x:c r="AE166" t="n">
        <x:f>IF(AND(AC166=1,OR(I166="FULL",J166="FULL")),1,0)</x:f>
        <x:v>0</x:v>
      </x:c>
      <x:c r="AF166" s="21"/>
    </x:row>
    <x:row r="167">
      <x:c r="H167" s="21"/>
      <x:c r="K167" s="21"/>
      <x:c r="L167" s="21"/>
      <x:c r="Z167" t="str">
        <x:f>IF(A167="","",IF(M167="EXCLUDED","EXCLUDED",IF(M167&lt;&gt;"VERIFIED","UNREVIEWED",IF(OR(H167="",I167="UNASSESSABLE",J167="UNASSESSABLE"),"UNSCORABLE",IF(H167&gt;=L167,IF(J167="FULL","CORRECT","PENDING"),IF(I167="FULL","CORRECT",IF(J167="FULL","LATE",IF(OR(I167="PARTIAL",J167="PARTIAL"),"PARTIAL","WRONG / MISSED"))))))))</x:f>
      </x:c>
      <x:c r="AA167" t="str">
        <x:f>IF(OR(A167="",M167&lt;&gt;"VERIFIED",H167="",K167="",J167&lt;&gt;"FULL"),"",K167-H167)</x:f>
      </x:c>
      <x:c r="AB167" t="str">
        <x:f>IF(OR(A167="",M167&lt;&gt;"VERIFIED",H167="",H167&gt;=L167,J167="FULL",J167="UNASSESSABLE"),"",L167-H167)</x:f>
      </x:c>
      <x:c r="AC167" t="n">
        <x:f>IF(AND(A167&lt;&gt;"",M167="VERIFIED",N167="YES",H167&lt;&gt;"",H167&lt;L167,I167&lt;&gt;"UNASSESSABLE",I167&lt;&gt;"UNREVIEWED",I167&lt;&gt;"NOT_DUE"),1,0)</x:f>
        <x:v>0</x:v>
      </x:c>
      <x:c r="AD167" t="n">
        <x:f>IF(AND(AC167=1,I167="FULL"),1,0)</x:f>
        <x:v>0</x:v>
      </x:c>
      <x:c r="AE167" t="n">
        <x:f>IF(AND(AC167=1,OR(I167="FULL",J167="FULL")),1,0)</x:f>
        <x:v>0</x:v>
      </x:c>
      <x:c r="AF167" s="21"/>
    </x:row>
    <x:row r="168">
      <x:c r="H168" s="21"/>
      <x:c r="K168" s="21"/>
      <x:c r="L168" s="21"/>
      <x:c r="Z168" t="str">
        <x:f>IF(A168="","",IF(M168="EXCLUDED","EXCLUDED",IF(M168&lt;&gt;"VERIFIED","UNREVIEWED",IF(OR(H168="",I168="UNASSESSABLE",J168="UNASSESSABLE"),"UNSCORABLE",IF(H168&gt;=L168,IF(J168="FULL","CORRECT","PENDING"),IF(I168="FULL","CORRECT",IF(J168="FULL","LATE",IF(OR(I168="PARTIAL",J168="PARTIAL"),"PARTIAL","WRONG / MISSED"))))))))</x:f>
      </x:c>
      <x:c r="AA168" t="str">
        <x:f>IF(OR(A168="",M168&lt;&gt;"VERIFIED",H168="",K168="",J168&lt;&gt;"FULL"),"",K168-H168)</x:f>
      </x:c>
      <x:c r="AB168" t="str">
        <x:f>IF(OR(A168="",M168&lt;&gt;"VERIFIED",H168="",H168&gt;=L168,J168="FULL",J168="UNASSESSABLE"),"",L168-H168)</x:f>
      </x:c>
      <x:c r="AC168" t="n">
        <x:f>IF(AND(A168&lt;&gt;"",M168="VERIFIED",N168="YES",H168&lt;&gt;"",H168&lt;L168,I168&lt;&gt;"UNASSESSABLE",I168&lt;&gt;"UNREVIEWED",I168&lt;&gt;"NOT_DUE"),1,0)</x:f>
        <x:v>0</x:v>
      </x:c>
      <x:c r="AD168" t="n">
        <x:f>IF(AND(AC168=1,I168="FULL"),1,0)</x:f>
        <x:v>0</x:v>
      </x:c>
      <x:c r="AE168" t="n">
        <x:f>IF(AND(AC168=1,OR(I168="FULL",J168="FULL")),1,0)</x:f>
        <x:v>0</x:v>
      </x:c>
      <x:c r="AF168" s="21"/>
    </x:row>
    <x:row r="169">
      <x:c r="H169" s="21"/>
      <x:c r="K169" s="21"/>
      <x:c r="L169" s="21"/>
      <x:c r="Z169" t="str">
        <x:f>IF(A169="","",IF(M169="EXCLUDED","EXCLUDED",IF(M169&lt;&gt;"VERIFIED","UNREVIEWED",IF(OR(H169="",I169="UNASSESSABLE",J169="UNASSESSABLE"),"UNSCORABLE",IF(H169&gt;=L169,IF(J169="FULL","CORRECT","PENDING"),IF(I169="FULL","CORRECT",IF(J169="FULL","LATE",IF(OR(I169="PARTIAL",J169="PARTIAL"),"PARTIAL","WRONG / MISSED"))))))))</x:f>
      </x:c>
      <x:c r="AA169" t="str">
        <x:f>IF(OR(A169="",M169&lt;&gt;"VERIFIED",H169="",K169="",J169&lt;&gt;"FULL"),"",K169-H169)</x:f>
      </x:c>
      <x:c r="AB169" t="str">
        <x:f>IF(OR(A169="",M169&lt;&gt;"VERIFIED",H169="",H169&gt;=L169,J169="FULL",J169="UNASSESSABLE"),"",L169-H169)</x:f>
      </x:c>
      <x:c r="AC169" t="n">
        <x:f>IF(AND(A169&lt;&gt;"",M169="VERIFIED",N169="YES",H169&lt;&gt;"",H169&lt;L169,I169&lt;&gt;"UNASSESSABLE",I169&lt;&gt;"UNREVIEWED",I169&lt;&gt;"NOT_DUE"),1,0)</x:f>
        <x:v>0</x:v>
      </x:c>
      <x:c r="AD169" t="n">
        <x:f>IF(AND(AC169=1,I169="FULL"),1,0)</x:f>
        <x:v>0</x:v>
      </x:c>
      <x:c r="AE169" t="n">
        <x:f>IF(AND(AC169=1,OR(I169="FULL",J169="FULL")),1,0)</x:f>
        <x:v>0</x:v>
      </x:c>
      <x:c r="AF169" s="21"/>
    </x:row>
    <x:row r="170">
      <x:c r="H170" s="21"/>
      <x:c r="K170" s="21"/>
      <x:c r="L170" s="21"/>
      <x:c r="Z170" t="str">
        <x:f>IF(A170="","",IF(M170="EXCLUDED","EXCLUDED",IF(M170&lt;&gt;"VERIFIED","UNREVIEWED",IF(OR(H170="",I170="UNASSESSABLE",J170="UNASSESSABLE"),"UNSCORABLE",IF(H170&gt;=L170,IF(J170="FULL","CORRECT","PENDING"),IF(I170="FULL","CORRECT",IF(J170="FULL","LATE",IF(OR(I170="PARTIAL",J170="PARTIAL"),"PARTIAL","WRONG / MISSED"))))))))</x:f>
      </x:c>
      <x:c r="AA170" t="str">
        <x:f>IF(OR(A170="",M170&lt;&gt;"VERIFIED",H170="",K170="",J170&lt;&gt;"FULL"),"",K170-H170)</x:f>
      </x:c>
      <x:c r="AB170" t="str">
        <x:f>IF(OR(A170="",M170&lt;&gt;"VERIFIED",H170="",H170&gt;=L170,J170="FULL",J170="UNASSESSABLE"),"",L170-H170)</x:f>
      </x:c>
      <x:c r="AC170" t="n">
        <x:f>IF(AND(A170&lt;&gt;"",M170="VERIFIED",N170="YES",H170&lt;&gt;"",H170&lt;L170,I170&lt;&gt;"UNASSESSABLE",I170&lt;&gt;"UNREVIEWED",I170&lt;&gt;"NOT_DUE"),1,0)</x:f>
        <x:v>0</x:v>
      </x:c>
      <x:c r="AD170" t="n">
        <x:f>IF(AND(AC170=1,I170="FULL"),1,0)</x:f>
        <x:v>0</x:v>
      </x:c>
      <x:c r="AE170" t="n">
        <x:f>IF(AND(AC170=1,OR(I170="FULL",J170="FULL")),1,0)</x:f>
        <x:v>0</x:v>
      </x:c>
      <x:c r="AF170" s="21"/>
    </x:row>
    <x:row r="171">
      <x:c r="H171" s="21"/>
      <x:c r="K171" s="21"/>
      <x:c r="L171" s="21"/>
      <x:c r="Z171" t="str">
        <x:f>IF(A171="","",IF(M171="EXCLUDED","EXCLUDED",IF(M171&lt;&gt;"VERIFIED","UNREVIEWED",IF(OR(H171="",I171="UNASSESSABLE",J171="UNASSESSABLE"),"UNSCORABLE",IF(H171&gt;=L171,IF(J171="FULL","CORRECT","PENDING"),IF(I171="FULL","CORRECT",IF(J171="FULL","LATE",IF(OR(I171="PARTIAL",J171="PARTIAL"),"PARTIAL","WRONG / MISSED"))))))))</x:f>
      </x:c>
      <x:c r="AA171" t="str">
        <x:f>IF(OR(A171="",M171&lt;&gt;"VERIFIED",H171="",K171="",J171&lt;&gt;"FULL"),"",K171-H171)</x:f>
      </x:c>
      <x:c r="AB171" t="str">
        <x:f>IF(OR(A171="",M171&lt;&gt;"VERIFIED",H171="",H171&gt;=L171,J171="FULL",J171="UNASSESSABLE"),"",L171-H171)</x:f>
      </x:c>
      <x:c r="AC171" t="n">
        <x:f>IF(AND(A171&lt;&gt;"",M171="VERIFIED",N171="YES",H171&lt;&gt;"",H171&lt;L171,I171&lt;&gt;"UNASSESSABLE",I171&lt;&gt;"UNREVIEWED",I171&lt;&gt;"NOT_DUE"),1,0)</x:f>
        <x:v>0</x:v>
      </x:c>
      <x:c r="AD171" t="n">
        <x:f>IF(AND(AC171=1,I171="FULL"),1,0)</x:f>
        <x:v>0</x:v>
      </x:c>
      <x:c r="AE171" t="n">
        <x:f>IF(AND(AC171=1,OR(I171="FULL",J171="FULL")),1,0)</x:f>
        <x:v>0</x:v>
      </x:c>
      <x:c r="AF171" s="21"/>
    </x:row>
    <x:row r="172">
      <x:c r="H172" s="21"/>
      <x:c r="K172" s="21"/>
      <x:c r="L172" s="21"/>
      <x:c r="Z172" t="str">
        <x:f>IF(A172="","",IF(M172="EXCLUDED","EXCLUDED",IF(M172&lt;&gt;"VERIFIED","UNREVIEWED",IF(OR(H172="",I172="UNASSESSABLE",J172="UNASSESSABLE"),"UNSCORABLE",IF(H172&gt;=L172,IF(J172="FULL","CORRECT","PENDING"),IF(I172="FULL","CORRECT",IF(J172="FULL","LATE",IF(OR(I172="PARTIAL",J172="PARTIAL"),"PARTIAL","WRONG / MISSED"))))))))</x:f>
      </x:c>
      <x:c r="AA172" t="str">
        <x:f>IF(OR(A172="",M172&lt;&gt;"VERIFIED",H172="",K172="",J172&lt;&gt;"FULL"),"",K172-H172)</x:f>
      </x:c>
      <x:c r="AB172" t="str">
        <x:f>IF(OR(A172="",M172&lt;&gt;"VERIFIED",H172="",H172&gt;=L172,J172="FULL",J172="UNASSESSABLE"),"",L172-H172)</x:f>
      </x:c>
      <x:c r="AC172" t="n">
        <x:f>IF(AND(A172&lt;&gt;"",M172="VERIFIED",N172="YES",H172&lt;&gt;"",H172&lt;L172,I172&lt;&gt;"UNASSESSABLE",I172&lt;&gt;"UNREVIEWED",I172&lt;&gt;"NOT_DUE"),1,0)</x:f>
        <x:v>0</x:v>
      </x:c>
      <x:c r="AD172" t="n">
        <x:f>IF(AND(AC172=1,I172="FULL"),1,0)</x:f>
        <x:v>0</x:v>
      </x:c>
      <x:c r="AE172" t="n">
        <x:f>IF(AND(AC172=1,OR(I172="FULL",J172="FULL")),1,0)</x:f>
        <x:v>0</x:v>
      </x:c>
      <x:c r="AF172" s="21"/>
    </x:row>
    <x:row r="173">
      <x:c r="H173" s="21"/>
      <x:c r="K173" s="21"/>
      <x:c r="L173" s="21"/>
      <x:c r="Z173" t="str">
        <x:f>IF(A173="","",IF(M173="EXCLUDED","EXCLUDED",IF(M173&lt;&gt;"VERIFIED","UNREVIEWED",IF(OR(H173="",I173="UNASSESSABLE",J173="UNASSESSABLE"),"UNSCORABLE",IF(H173&gt;=L173,IF(J173="FULL","CORRECT","PENDING"),IF(I173="FULL","CORRECT",IF(J173="FULL","LATE",IF(OR(I173="PARTIAL",J173="PARTIAL"),"PARTIAL","WRONG / MISSED"))))))))</x:f>
      </x:c>
      <x:c r="AA173" t="str">
        <x:f>IF(OR(A173="",M173&lt;&gt;"VERIFIED",H173="",K173="",J173&lt;&gt;"FULL"),"",K173-H173)</x:f>
      </x:c>
      <x:c r="AB173" t="str">
        <x:f>IF(OR(A173="",M173&lt;&gt;"VERIFIED",H173="",H173&gt;=L173,J173="FULL",J173="UNASSESSABLE"),"",L173-H173)</x:f>
      </x:c>
      <x:c r="AC173" t="n">
        <x:f>IF(AND(A173&lt;&gt;"",M173="VERIFIED",N173="YES",H173&lt;&gt;"",H173&lt;L173,I173&lt;&gt;"UNASSESSABLE",I173&lt;&gt;"UNREVIEWED",I173&lt;&gt;"NOT_DUE"),1,0)</x:f>
        <x:v>0</x:v>
      </x:c>
      <x:c r="AD173" t="n">
        <x:f>IF(AND(AC173=1,I173="FULL"),1,0)</x:f>
        <x:v>0</x:v>
      </x:c>
      <x:c r="AE173" t="n">
        <x:f>IF(AND(AC173=1,OR(I173="FULL",J173="FULL")),1,0)</x:f>
        <x:v>0</x:v>
      </x:c>
      <x:c r="AF173" s="21"/>
    </x:row>
    <x:row r="174">
      <x:c r="H174" s="21"/>
      <x:c r="K174" s="21"/>
      <x:c r="L174" s="21"/>
      <x:c r="Z174" t="str">
        <x:f>IF(A174="","",IF(M174="EXCLUDED","EXCLUDED",IF(M174&lt;&gt;"VERIFIED","UNREVIEWED",IF(OR(H174="",I174="UNASSESSABLE",J174="UNASSESSABLE"),"UNSCORABLE",IF(H174&gt;=L174,IF(J174="FULL","CORRECT","PENDING"),IF(I174="FULL","CORRECT",IF(J174="FULL","LATE",IF(OR(I174="PARTIAL",J174="PARTIAL"),"PARTIAL","WRONG / MISSED"))))))))</x:f>
      </x:c>
      <x:c r="AA174" t="str">
        <x:f>IF(OR(A174="",M174&lt;&gt;"VERIFIED",H174="",K174="",J174&lt;&gt;"FULL"),"",K174-H174)</x:f>
      </x:c>
      <x:c r="AB174" t="str">
        <x:f>IF(OR(A174="",M174&lt;&gt;"VERIFIED",H174="",H174&gt;=L174,J174="FULL",J174="UNASSESSABLE"),"",L174-H174)</x:f>
      </x:c>
      <x:c r="AC174" t="n">
        <x:f>IF(AND(A174&lt;&gt;"",M174="VERIFIED",N174="YES",H174&lt;&gt;"",H174&lt;L174,I174&lt;&gt;"UNASSESSABLE",I174&lt;&gt;"UNREVIEWED",I174&lt;&gt;"NOT_DUE"),1,0)</x:f>
        <x:v>0</x:v>
      </x:c>
      <x:c r="AD174" t="n">
        <x:f>IF(AND(AC174=1,I174="FULL"),1,0)</x:f>
        <x:v>0</x:v>
      </x:c>
      <x:c r="AE174" t="n">
        <x:f>IF(AND(AC174=1,OR(I174="FULL",J174="FULL")),1,0)</x:f>
        <x:v>0</x:v>
      </x:c>
      <x:c r="AF174" s="21"/>
    </x:row>
    <x:row r="175">
      <x:c r="H175" s="21"/>
      <x:c r="K175" s="21"/>
      <x:c r="L175" s="21"/>
      <x:c r="Z175" t="str">
        <x:f>IF(A175="","",IF(M175="EXCLUDED","EXCLUDED",IF(M175&lt;&gt;"VERIFIED","UNREVIEWED",IF(OR(H175="",I175="UNASSESSABLE",J175="UNASSESSABLE"),"UNSCORABLE",IF(H175&gt;=L175,IF(J175="FULL","CORRECT","PENDING"),IF(I175="FULL","CORRECT",IF(J175="FULL","LATE",IF(OR(I175="PARTIAL",J175="PARTIAL"),"PARTIAL","WRONG / MISSED"))))))))</x:f>
      </x:c>
      <x:c r="AA175" t="str">
        <x:f>IF(OR(A175="",M175&lt;&gt;"VERIFIED",H175="",K175="",J175&lt;&gt;"FULL"),"",K175-H175)</x:f>
      </x:c>
      <x:c r="AB175" t="str">
        <x:f>IF(OR(A175="",M175&lt;&gt;"VERIFIED",H175="",H175&gt;=L175,J175="FULL",J175="UNASSESSABLE"),"",L175-H175)</x:f>
      </x:c>
      <x:c r="AC175" t="n">
        <x:f>IF(AND(A175&lt;&gt;"",M175="VERIFIED",N175="YES",H175&lt;&gt;"",H175&lt;L175,I175&lt;&gt;"UNASSESSABLE",I175&lt;&gt;"UNREVIEWED",I175&lt;&gt;"NOT_DUE"),1,0)</x:f>
        <x:v>0</x:v>
      </x:c>
      <x:c r="AD175" t="n">
        <x:f>IF(AND(AC175=1,I175="FULL"),1,0)</x:f>
        <x:v>0</x:v>
      </x:c>
      <x:c r="AE175" t="n">
        <x:f>IF(AND(AC175=1,OR(I175="FULL",J175="FULL")),1,0)</x:f>
        <x:v>0</x:v>
      </x:c>
      <x:c r="AF175" s="21"/>
    </x:row>
    <x:row r="176">
      <x:c r="H176" s="21"/>
      <x:c r="K176" s="21"/>
      <x:c r="L176" s="21"/>
      <x:c r="Z176" t="str">
        <x:f>IF(A176="","",IF(M176="EXCLUDED","EXCLUDED",IF(M176&lt;&gt;"VERIFIED","UNREVIEWED",IF(OR(H176="",I176="UNASSESSABLE",J176="UNASSESSABLE"),"UNSCORABLE",IF(H176&gt;=L176,IF(J176="FULL","CORRECT","PENDING"),IF(I176="FULL","CORRECT",IF(J176="FULL","LATE",IF(OR(I176="PARTIAL",J176="PARTIAL"),"PARTIAL","WRONG / MISSED"))))))))</x:f>
      </x:c>
      <x:c r="AA176" t="str">
        <x:f>IF(OR(A176="",M176&lt;&gt;"VERIFIED",H176="",K176="",J176&lt;&gt;"FULL"),"",K176-H176)</x:f>
      </x:c>
      <x:c r="AB176" t="str">
        <x:f>IF(OR(A176="",M176&lt;&gt;"VERIFIED",H176="",H176&gt;=L176,J176="FULL",J176="UNASSESSABLE"),"",L176-H176)</x:f>
      </x:c>
      <x:c r="AC176" t="n">
        <x:f>IF(AND(A176&lt;&gt;"",M176="VERIFIED",N176="YES",H176&lt;&gt;"",H176&lt;L176,I176&lt;&gt;"UNASSESSABLE",I176&lt;&gt;"UNREVIEWED",I176&lt;&gt;"NOT_DUE"),1,0)</x:f>
        <x:v>0</x:v>
      </x:c>
      <x:c r="AD176" t="n">
        <x:f>IF(AND(AC176=1,I176="FULL"),1,0)</x:f>
        <x:v>0</x:v>
      </x:c>
      <x:c r="AE176" t="n">
        <x:f>IF(AND(AC176=1,OR(I176="FULL",J176="FULL")),1,0)</x:f>
        <x:v>0</x:v>
      </x:c>
      <x:c r="AF176" s="21"/>
    </x:row>
    <x:row r="177">
      <x:c r="H177" s="21"/>
      <x:c r="K177" s="21"/>
      <x:c r="L177" s="21"/>
      <x:c r="Z177" t="str">
        <x:f>IF(A177="","",IF(M177="EXCLUDED","EXCLUDED",IF(M177&lt;&gt;"VERIFIED","UNREVIEWED",IF(OR(H177="",I177="UNASSESSABLE",J177="UNASSESSABLE"),"UNSCORABLE",IF(H177&gt;=L177,IF(J177="FULL","CORRECT","PENDING"),IF(I177="FULL","CORRECT",IF(J177="FULL","LATE",IF(OR(I177="PARTIAL",J177="PARTIAL"),"PARTIAL","WRONG / MISSED"))))))))</x:f>
      </x:c>
      <x:c r="AA177" t="str">
        <x:f>IF(OR(A177="",M177&lt;&gt;"VERIFIED",H177="",K177="",J177&lt;&gt;"FULL"),"",K177-H177)</x:f>
      </x:c>
      <x:c r="AB177" t="str">
        <x:f>IF(OR(A177="",M177&lt;&gt;"VERIFIED",H177="",H177&gt;=L177,J177="FULL",J177="UNASSESSABLE"),"",L177-H177)</x:f>
      </x:c>
      <x:c r="AC177" t="n">
        <x:f>IF(AND(A177&lt;&gt;"",M177="VERIFIED",N177="YES",H177&lt;&gt;"",H177&lt;L177,I177&lt;&gt;"UNASSESSABLE",I177&lt;&gt;"UNREVIEWED",I177&lt;&gt;"NOT_DUE"),1,0)</x:f>
        <x:v>0</x:v>
      </x:c>
      <x:c r="AD177" t="n">
        <x:f>IF(AND(AC177=1,I177="FULL"),1,0)</x:f>
        <x:v>0</x:v>
      </x:c>
      <x:c r="AE177" t="n">
        <x:f>IF(AND(AC177=1,OR(I177="FULL",J177="FULL")),1,0)</x:f>
        <x:v>0</x:v>
      </x:c>
      <x:c r="AF177" s="21"/>
    </x:row>
    <x:row r="178">
      <x:c r="H178" s="21"/>
      <x:c r="K178" s="21"/>
      <x:c r="L178" s="21"/>
      <x:c r="Z178" t="str">
        <x:f>IF(A178="","",IF(M178="EXCLUDED","EXCLUDED",IF(M178&lt;&gt;"VERIFIED","UNREVIEWED",IF(OR(H178="",I178="UNASSESSABLE",J178="UNASSESSABLE"),"UNSCORABLE",IF(H178&gt;=L178,IF(J178="FULL","CORRECT","PENDING"),IF(I178="FULL","CORRECT",IF(J178="FULL","LATE",IF(OR(I178="PARTIAL",J178="PARTIAL"),"PARTIAL","WRONG / MISSED"))))))))</x:f>
      </x:c>
      <x:c r="AA178" t="str">
        <x:f>IF(OR(A178="",M178&lt;&gt;"VERIFIED",H178="",K178="",J178&lt;&gt;"FULL"),"",K178-H178)</x:f>
      </x:c>
      <x:c r="AB178" t="str">
        <x:f>IF(OR(A178="",M178&lt;&gt;"VERIFIED",H178="",H178&gt;=L178,J178="FULL",J178="UNASSESSABLE"),"",L178-H178)</x:f>
      </x:c>
      <x:c r="AC178" t="n">
        <x:f>IF(AND(A178&lt;&gt;"",M178="VERIFIED",N178="YES",H178&lt;&gt;"",H178&lt;L178,I178&lt;&gt;"UNASSESSABLE",I178&lt;&gt;"UNREVIEWED",I178&lt;&gt;"NOT_DUE"),1,0)</x:f>
        <x:v>0</x:v>
      </x:c>
      <x:c r="AD178" t="n">
        <x:f>IF(AND(AC178=1,I178="FULL"),1,0)</x:f>
        <x:v>0</x:v>
      </x:c>
      <x:c r="AE178" t="n">
        <x:f>IF(AND(AC178=1,OR(I178="FULL",J178="FULL")),1,0)</x:f>
        <x:v>0</x:v>
      </x:c>
      <x:c r="AF178" s="21"/>
    </x:row>
    <x:row r="179">
      <x:c r="H179" s="21"/>
      <x:c r="K179" s="21"/>
      <x:c r="L179" s="21"/>
      <x:c r="Z179" t="str">
        <x:f>IF(A179="","",IF(M179="EXCLUDED","EXCLUDED",IF(M179&lt;&gt;"VERIFIED","UNREVIEWED",IF(OR(H179="",I179="UNASSESSABLE",J179="UNASSESSABLE"),"UNSCORABLE",IF(H179&gt;=L179,IF(J179="FULL","CORRECT","PENDING"),IF(I179="FULL","CORRECT",IF(J179="FULL","LATE",IF(OR(I179="PARTIAL",J179="PARTIAL"),"PARTIAL","WRONG / MISSED"))))))))</x:f>
      </x:c>
      <x:c r="AA179" t="str">
        <x:f>IF(OR(A179="",M179&lt;&gt;"VERIFIED",H179="",K179="",J179&lt;&gt;"FULL"),"",K179-H179)</x:f>
      </x:c>
      <x:c r="AB179" t="str">
        <x:f>IF(OR(A179="",M179&lt;&gt;"VERIFIED",H179="",H179&gt;=L179,J179="FULL",J179="UNASSESSABLE"),"",L179-H179)</x:f>
      </x:c>
      <x:c r="AC179" t="n">
        <x:f>IF(AND(A179&lt;&gt;"",M179="VERIFIED",N179="YES",H179&lt;&gt;"",H179&lt;L179,I179&lt;&gt;"UNASSESSABLE",I179&lt;&gt;"UNREVIEWED",I179&lt;&gt;"NOT_DUE"),1,0)</x:f>
        <x:v>0</x:v>
      </x:c>
      <x:c r="AD179" t="n">
        <x:f>IF(AND(AC179=1,I179="FULL"),1,0)</x:f>
        <x:v>0</x:v>
      </x:c>
      <x:c r="AE179" t="n">
        <x:f>IF(AND(AC179=1,OR(I179="FULL",J179="FULL")),1,0)</x:f>
        <x:v>0</x:v>
      </x:c>
      <x:c r="AF179" s="21"/>
    </x:row>
    <x:row r="180">
      <x:c r="H180" s="21"/>
      <x:c r="K180" s="21"/>
      <x:c r="L180" s="21"/>
      <x:c r="Z180" t="str">
        <x:f>IF(A180="","",IF(M180="EXCLUDED","EXCLUDED",IF(M180&lt;&gt;"VERIFIED","UNREVIEWED",IF(OR(H180="",I180="UNASSESSABLE",J180="UNASSESSABLE"),"UNSCORABLE",IF(H180&gt;=L180,IF(J180="FULL","CORRECT","PENDING"),IF(I180="FULL","CORRECT",IF(J180="FULL","LATE",IF(OR(I180="PARTIAL",J180="PARTIAL"),"PARTIAL","WRONG / MISSED"))))))))</x:f>
      </x:c>
      <x:c r="AA180" t="str">
        <x:f>IF(OR(A180="",M180&lt;&gt;"VERIFIED",H180="",K180="",J180&lt;&gt;"FULL"),"",K180-H180)</x:f>
      </x:c>
      <x:c r="AB180" t="str">
        <x:f>IF(OR(A180="",M180&lt;&gt;"VERIFIED",H180="",H180&gt;=L180,J180="FULL",J180="UNASSESSABLE"),"",L180-H180)</x:f>
      </x:c>
      <x:c r="AC180" t="n">
        <x:f>IF(AND(A180&lt;&gt;"",M180="VERIFIED",N180="YES",H180&lt;&gt;"",H180&lt;L180,I180&lt;&gt;"UNASSESSABLE",I180&lt;&gt;"UNREVIEWED",I180&lt;&gt;"NOT_DUE"),1,0)</x:f>
        <x:v>0</x:v>
      </x:c>
      <x:c r="AD180" t="n">
        <x:f>IF(AND(AC180=1,I180="FULL"),1,0)</x:f>
        <x:v>0</x:v>
      </x:c>
      <x:c r="AE180" t="n">
        <x:f>IF(AND(AC180=1,OR(I180="FULL",J180="FULL")),1,0)</x:f>
        <x:v>0</x:v>
      </x:c>
      <x:c r="AF180" s="21"/>
    </x:row>
    <x:row r="181">
      <x:c r="H181" s="21"/>
      <x:c r="K181" s="21"/>
      <x:c r="L181" s="21"/>
      <x:c r="Z181" t="str">
        <x:f>IF(A181="","",IF(M181="EXCLUDED","EXCLUDED",IF(M181&lt;&gt;"VERIFIED","UNREVIEWED",IF(OR(H181="",I181="UNASSESSABLE",J181="UNASSESSABLE"),"UNSCORABLE",IF(H181&gt;=L181,IF(J181="FULL","CORRECT","PENDING"),IF(I181="FULL","CORRECT",IF(J181="FULL","LATE",IF(OR(I181="PARTIAL",J181="PARTIAL"),"PARTIAL","WRONG / MISSED"))))))))</x:f>
      </x:c>
      <x:c r="AA181" t="str">
        <x:f>IF(OR(A181="",M181&lt;&gt;"VERIFIED",H181="",K181="",J181&lt;&gt;"FULL"),"",K181-H181)</x:f>
      </x:c>
      <x:c r="AB181" t="str">
        <x:f>IF(OR(A181="",M181&lt;&gt;"VERIFIED",H181="",H181&gt;=L181,J181="FULL",J181="UNASSESSABLE"),"",L181-H181)</x:f>
      </x:c>
      <x:c r="AC181" t="n">
        <x:f>IF(AND(A181&lt;&gt;"",M181="VERIFIED",N181="YES",H181&lt;&gt;"",H181&lt;L181,I181&lt;&gt;"UNASSESSABLE",I181&lt;&gt;"UNREVIEWED",I181&lt;&gt;"NOT_DUE"),1,0)</x:f>
        <x:v>0</x:v>
      </x:c>
      <x:c r="AD181" t="n">
        <x:f>IF(AND(AC181=1,I181="FULL"),1,0)</x:f>
        <x:v>0</x:v>
      </x:c>
      <x:c r="AE181" t="n">
        <x:f>IF(AND(AC181=1,OR(I181="FULL",J181="FULL")),1,0)</x:f>
        <x:v>0</x:v>
      </x:c>
      <x:c r="AF181" s="21"/>
    </x:row>
    <x:row r="182">
      <x:c r="H182" s="21"/>
      <x:c r="K182" s="21"/>
      <x:c r="L182" s="21"/>
      <x:c r="Z182" t="str">
        <x:f>IF(A182="","",IF(M182="EXCLUDED","EXCLUDED",IF(M182&lt;&gt;"VERIFIED","UNREVIEWED",IF(OR(H182="",I182="UNASSESSABLE",J182="UNASSESSABLE"),"UNSCORABLE",IF(H182&gt;=L182,IF(J182="FULL","CORRECT","PENDING"),IF(I182="FULL","CORRECT",IF(J182="FULL","LATE",IF(OR(I182="PARTIAL",J182="PARTIAL"),"PARTIAL","WRONG / MISSED"))))))))</x:f>
      </x:c>
      <x:c r="AA182" t="str">
        <x:f>IF(OR(A182="",M182&lt;&gt;"VERIFIED",H182="",K182="",J182&lt;&gt;"FULL"),"",K182-H182)</x:f>
      </x:c>
      <x:c r="AB182" t="str">
        <x:f>IF(OR(A182="",M182&lt;&gt;"VERIFIED",H182="",H182&gt;=L182,J182="FULL",J182="UNASSESSABLE"),"",L182-H182)</x:f>
      </x:c>
      <x:c r="AC182" t="n">
        <x:f>IF(AND(A182&lt;&gt;"",M182="VERIFIED",N182="YES",H182&lt;&gt;"",H182&lt;L182,I182&lt;&gt;"UNASSESSABLE",I182&lt;&gt;"UNREVIEWED",I182&lt;&gt;"NOT_DUE"),1,0)</x:f>
        <x:v>0</x:v>
      </x:c>
      <x:c r="AD182" t="n">
        <x:f>IF(AND(AC182=1,I182="FULL"),1,0)</x:f>
        <x:v>0</x:v>
      </x:c>
      <x:c r="AE182" t="n">
        <x:f>IF(AND(AC182=1,OR(I182="FULL",J182="FULL")),1,0)</x:f>
        <x:v>0</x:v>
      </x:c>
      <x:c r="AF182" s="21"/>
    </x:row>
    <x:row r="183">
      <x:c r="H183" s="21"/>
      <x:c r="K183" s="21"/>
      <x:c r="L183" s="21"/>
      <x:c r="Z183" t="str">
        <x:f>IF(A183="","",IF(M183="EXCLUDED","EXCLUDED",IF(M183&lt;&gt;"VERIFIED","UNREVIEWED",IF(OR(H183="",I183="UNASSESSABLE",J183="UNASSESSABLE"),"UNSCORABLE",IF(H183&gt;=L183,IF(J183="FULL","CORRECT","PENDING"),IF(I183="FULL","CORRECT",IF(J183="FULL","LATE",IF(OR(I183="PARTIAL",J183="PARTIAL"),"PARTIAL","WRONG / MISSED"))))))))</x:f>
      </x:c>
      <x:c r="AA183" t="str">
        <x:f>IF(OR(A183="",M183&lt;&gt;"VERIFIED",H183="",K183="",J183&lt;&gt;"FULL"),"",K183-H183)</x:f>
      </x:c>
      <x:c r="AB183" t="str">
        <x:f>IF(OR(A183="",M183&lt;&gt;"VERIFIED",H183="",H183&gt;=L183,J183="FULL",J183="UNASSESSABLE"),"",L183-H183)</x:f>
      </x:c>
      <x:c r="AC183" t="n">
        <x:f>IF(AND(A183&lt;&gt;"",M183="VERIFIED",N183="YES",H183&lt;&gt;"",H183&lt;L183,I183&lt;&gt;"UNASSESSABLE",I183&lt;&gt;"UNREVIEWED",I183&lt;&gt;"NOT_DUE"),1,0)</x:f>
        <x:v>0</x:v>
      </x:c>
      <x:c r="AD183" t="n">
        <x:f>IF(AND(AC183=1,I183="FULL"),1,0)</x:f>
        <x:v>0</x:v>
      </x:c>
      <x:c r="AE183" t="n">
        <x:f>IF(AND(AC183=1,OR(I183="FULL",J183="FULL")),1,0)</x:f>
        <x:v>0</x:v>
      </x:c>
      <x:c r="AF183" s="21"/>
    </x:row>
    <x:row r="184">
      <x:c r="H184" s="21"/>
      <x:c r="K184" s="21"/>
      <x:c r="L184" s="21"/>
      <x:c r="Z184" t="str">
        <x:f>IF(A184="","",IF(M184="EXCLUDED","EXCLUDED",IF(M184&lt;&gt;"VERIFIED","UNREVIEWED",IF(OR(H184="",I184="UNASSESSABLE",J184="UNASSESSABLE"),"UNSCORABLE",IF(H184&gt;=L184,IF(J184="FULL","CORRECT","PENDING"),IF(I184="FULL","CORRECT",IF(J184="FULL","LATE",IF(OR(I184="PARTIAL",J184="PARTIAL"),"PARTIAL","WRONG / MISSED"))))))))</x:f>
      </x:c>
      <x:c r="AA184" t="str">
        <x:f>IF(OR(A184="",M184&lt;&gt;"VERIFIED",H184="",K184="",J184&lt;&gt;"FULL"),"",K184-H184)</x:f>
      </x:c>
      <x:c r="AB184" t="str">
        <x:f>IF(OR(A184="",M184&lt;&gt;"VERIFIED",H184="",H184&gt;=L184,J184="FULL",J184="UNASSESSABLE"),"",L184-H184)</x:f>
      </x:c>
      <x:c r="AC184" t="n">
        <x:f>IF(AND(A184&lt;&gt;"",M184="VERIFIED",N184="YES",H184&lt;&gt;"",H184&lt;L184,I184&lt;&gt;"UNASSESSABLE",I184&lt;&gt;"UNREVIEWED",I184&lt;&gt;"NOT_DUE"),1,0)</x:f>
        <x:v>0</x:v>
      </x:c>
      <x:c r="AD184" t="n">
        <x:f>IF(AND(AC184=1,I184="FULL"),1,0)</x:f>
        <x:v>0</x:v>
      </x:c>
      <x:c r="AE184" t="n">
        <x:f>IF(AND(AC184=1,OR(I184="FULL",J184="FULL")),1,0)</x:f>
        <x:v>0</x:v>
      </x:c>
      <x:c r="AF184" s="21"/>
    </x:row>
    <x:row r="185">
      <x:c r="H185" s="21"/>
      <x:c r="K185" s="21"/>
      <x:c r="L185" s="21"/>
      <x:c r="Z185" t="str">
        <x:f>IF(A185="","",IF(M185="EXCLUDED","EXCLUDED",IF(M185&lt;&gt;"VERIFIED","UNREVIEWED",IF(OR(H185="",I185="UNASSESSABLE",J185="UNASSESSABLE"),"UNSCORABLE",IF(H185&gt;=L185,IF(J185="FULL","CORRECT","PENDING"),IF(I185="FULL","CORRECT",IF(J185="FULL","LATE",IF(OR(I185="PARTIAL",J185="PARTIAL"),"PARTIAL","WRONG / MISSED"))))))))</x:f>
      </x:c>
      <x:c r="AA185" t="str">
        <x:f>IF(OR(A185="",M185&lt;&gt;"VERIFIED",H185="",K185="",J185&lt;&gt;"FULL"),"",K185-H185)</x:f>
      </x:c>
      <x:c r="AB185" t="str">
        <x:f>IF(OR(A185="",M185&lt;&gt;"VERIFIED",H185="",H185&gt;=L185,J185="FULL",J185="UNASSESSABLE"),"",L185-H185)</x:f>
      </x:c>
      <x:c r="AC185" t="n">
        <x:f>IF(AND(A185&lt;&gt;"",M185="VERIFIED",N185="YES",H185&lt;&gt;"",H185&lt;L185,I185&lt;&gt;"UNASSESSABLE",I185&lt;&gt;"UNREVIEWED",I185&lt;&gt;"NOT_DUE"),1,0)</x:f>
        <x:v>0</x:v>
      </x:c>
      <x:c r="AD185" t="n">
        <x:f>IF(AND(AC185=1,I185="FULL"),1,0)</x:f>
        <x:v>0</x:v>
      </x:c>
      <x:c r="AE185" t="n">
        <x:f>IF(AND(AC185=1,OR(I185="FULL",J185="FULL")),1,0)</x:f>
        <x:v>0</x:v>
      </x:c>
      <x:c r="AF185" s="21"/>
    </x:row>
    <x:row r="186">
      <x:c r="H186" s="21"/>
      <x:c r="K186" s="21"/>
      <x:c r="L186" s="21"/>
      <x:c r="Z186" t="str">
        <x:f>IF(A186="","",IF(M186="EXCLUDED","EXCLUDED",IF(M186&lt;&gt;"VERIFIED","UNREVIEWED",IF(OR(H186="",I186="UNASSESSABLE",J186="UNASSESSABLE"),"UNSCORABLE",IF(H186&gt;=L186,IF(J186="FULL","CORRECT","PENDING"),IF(I186="FULL","CORRECT",IF(J186="FULL","LATE",IF(OR(I186="PARTIAL",J186="PARTIAL"),"PARTIAL","WRONG / MISSED"))))))))</x:f>
      </x:c>
      <x:c r="AA186" t="str">
        <x:f>IF(OR(A186="",M186&lt;&gt;"VERIFIED",H186="",K186="",J186&lt;&gt;"FULL"),"",K186-H186)</x:f>
      </x:c>
      <x:c r="AB186" t="str">
        <x:f>IF(OR(A186="",M186&lt;&gt;"VERIFIED",H186="",H186&gt;=L186,J186="FULL",J186="UNASSESSABLE"),"",L186-H186)</x:f>
      </x:c>
      <x:c r="AC186" t="n">
        <x:f>IF(AND(A186&lt;&gt;"",M186="VERIFIED",N186="YES",H186&lt;&gt;"",H186&lt;L186,I186&lt;&gt;"UNASSESSABLE",I186&lt;&gt;"UNREVIEWED",I186&lt;&gt;"NOT_DUE"),1,0)</x:f>
        <x:v>0</x:v>
      </x:c>
      <x:c r="AD186" t="n">
        <x:f>IF(AND(AC186=1,I186="FULL"),1,0)</x:f>
        <x:v>0</x:v>
      </x:c>
      <x:c r="AE186" t="n">
        <x:f>IF(AND(AC186=1,OR(I186="FULL",J186="FULL")),1,0)</x:f>
        <x:v>0</x:v>
      </x:c>
      <x:c r="AF186" s="21"/>
    </x:row>
    <x:row r="187">
      <x:c r="H187" s="21"/>
      <x:c r="K187" s="21"/>
      <x:c r="L187" s="21"/>
      <x:c r="Z187" t="str">
        <x:f>IF(A187="","",IF(M187="EXCLUDED","EXCLUDED",IF(M187&lt;&gt;"VERIFIED","UNREVIEWED",IF(OR(H187="",I187="UNASSESSABLE",J187="UNASSESSABLE"),"UNSCORABLE",IF(H187&gt;=L187,IF(J187="FULL","CORRECT","PENDING"),IF(I187="FULL","CORRECT",IF(J187="FULL","LATE",IF(OR(I187="PARTIAL",J187="PARTIAL"),"PARTIAL","WRONG / MISSED"))))))))</x:f>
      </x:c>
      <x:c r="AA187" t="str">
        <x:f>IF(OR(A187="",M187&lt;&gt;"VERIFIED",H187="",K187="",J187&lt;&gt;"FULL"),"",K187-H187)</x:f>
      </x:c>
      <x:c r="AB187" t="str">
        <x:f>IF(OR(A187="",M187&lt;&gt;"VERIFIED",H187="",H187&gt;=L187,J187="FULL",J187="UNASSESSABLE"),"",L187-H187)</x:f>
      </x:c>
      <x:c r="AC187" t="n">
        <x:f>IF(AND(A187&lt;&gt;"",M187="VERIFIED",N187="YES",H187&lt;&gt;"",H187&lt;L187,I187&lt;&gt;"UNASSESSABLE",I187&lt;&gt;"UNREVIEWED",I187&lt;&gt;"NOT_DUE"),1,0)</x:f>
        <x:v>0</x:v>
      </x:c>
      <x:c r="AD187" t="n">
        <x:f>IF(AND(AC187=1,I187="FULL"),1,0)</x:f>
        <x:v>0</x:v>
      </x:c>
      <x:c r="AE187" t="n">
        <x:f>IF(AND(AC187=1,OR(I187="FULL",J187="FULL")),1,0)</x:f>
        <x:v>0</x:v>
      </x:c>
      <x:c r="AF187" s="21"/>
    </x:row>
    <x:row r="188">
      <x:c r="H188" s="21"/>
      <x:c r="K188" s="21"/>
      <x:c r="L188" s="21"/>
      <x:c r="Z188" t="str">
        <x:f>IF(A188="","",IF(M188="EXCLUDED","EXCLUDED",IF(M188&lt;&gt;"VERIFIED","UNREVIEWED",IF(OR(H188="",I188="UNASSESSABLE",J188="UNASSESSABLE"),"UNSCORABLE",IF(H188&gt;=L188,IF(J188="FULL","CORRECT","PENDING"),IF(I188="FULL","CORRECT",IF(J188="FULL","LATE",IF(OR(I188="PARTIAL",J188="PARTIAL"),"PARTIAL","WRONG / MISSED"))))))))</x:f>
      </x:c>
      <x:c r="AA188" t="str">
        <x:f>IF(OR(A188="",M188&lt;&gt;"VERIFIED",H188="",K188="",J188&lt;&gt;"FULL"),"",K188-H188)</x:f>
      </x:c>
      <x:c r="AB188" t="str">
        <x:f>IF(OR(A188="",M188&lt;&gt;"VERIFIED",H188="",H188&gt;=L188,J188="FULL",J188="UNASSESSABLE"),"",L188-H188)</x:f>
      </x:c>
      <x:c r="AC188" t="n">
        <x:f>IF(AND(A188&lt;&gt;"",M188="VERIFIED",N188="YES",H188&lt;&gt;"",H188&lt;L188,I188&lt;&gt;"UNASSESSABLE",I188&lt;&gt;"UNREVIEWED",I188&lt;&gt;"NOT_DUE"),1,0)</x:f>
        <x:v>0</x:v>
      </x:c>
      <x:c r="AD188" t="n">
        <x:f>IF(AND(AC188=1,I188="FULL"),1,0)</x:f>
        <x:v>0</x:v>
      </x:c>
      <x:c r="AE188" t="n">
        <x:f>IF(AND(AC188=1,OR(I188="FULL",J188="FULL")),1,0)</x:f>
        <x:v>0</x:v>
      </x:c>
      <x:c r="AF188" s="21"/>
    </x:row>
    <x:row r="189">
      <x:c r="H189" s="21"/>
      <x:c r="K189" s="21"/>
      <x:c r="L189" s="21"/>
      <x:c r="Z189" t="str">
        <x:f>IF(A189="","",IF(M189="EXCLUDED","EXCLUDED",IF(M189&lt;&gt;"VERIFIED","UNREVIEWED",IF(OR(H189="",I189="UNASSESSABLE",J189="UNASSESSABLE"),"UNSCORABLE",IF(H189&gt;=L189,IF(J189="FULL","CORRECT","PENDING"),IF(I189="FULL","CORRECT",IF(J189="FULL","LATE",IF(OR(I189="PARTIAL",J189="PARTIAL"),"PARTIAL","WRONG / MISSED"))))))))</x:f>
      </x:c>
      <x:c r="AA189" t="str">
        <x:f>IF(OR(A189="",M189&lt;&gt;"VERIFIED",H189="",K189="",J189&lt;&gt;"FULL"),"",K189-H189)</x:f>
      </x:c>
      <x:c r="AB189" t="str">
        <x:f>IF(OR(A189="",M189&lt;&gt;"VERIFIED",H189="",H189&gt;=L189,J189="FULL",J189="UNASSESSABLE"),"",L189-H189)</x:f>
      </x:c>
      <x:c r="AC189" t="n">
        <x:f>IF(AND(A189&lt;&gt;"",M189="VERIFIED",N189="YES",H189&lt;&gt;"",H189&lt;L189,I189&lt;&gt;"UNASSESSABLE",I189&lt;&gt;"UNREVIEWED",I189&lt;&gt;"NOT_DUE"),1,0)</x:f>
        <x:v>0</x:v>
      </x:c>
      <x:c r="AD189" t="n">
        <x:f>IF(AND(AC189=1,I189="FULL"),1,0)</x:f>
        <x:v>0</x:v>
      </x:c>
      <x:c r="AE189" t="n">
        <x:f>IF(AND(AC189=1,OR(I189="FULL",J189="FULL")),1,0)</x:f>
        <x:v>0</x:v>
      </x:c>
      <x:c r="AF189" s="21"/>
    </x:row>
    <x:row r="190">
      <x:c r="H190" s="21"/>
      <x:c r="K190" s="21"/>
      <x:c r="L190" s="21"/>
      <x:c r="Z190" t="str">
        <x:f>IF(A190="","",IF(M190="EXCLUDED","EXCLUDED",IF(M190&lt;&gt;"VERIFIED","UNREVIEWED",IF(OR(H190="",I190="UNASSESSABLE",J190="UNASSESSABLE"),"UNSCORABLE",IF(H190&gt;=L190,IF(J190="FULL","CORRECT","PENDING"),IF(I190="FULL","CORRECT",IF(J190="FULL","LATE",IF(OR(I190="PARTIAL",J190="PARTIAL"),"PARTIAL","WRONG / MISSED"))))))))</x:f>
      </x:c>
      <x:c r="AA190" t="str">
        <x:f>IF(OR(A190="",M190&lt;&gt;"VERIFIED",H190="",K190="",J190&lt;&gt;"FULL"),"",K190-H190)</x:f>
      </x:c>
      <x:c r="AB190" t="str">
        <x:f>IF(OR(A190="",M190&lt;&gt;"VERIFIED",H190="",H190&gt;=L190,J190="FULL",J190="UNASSESSABLE"),"",L190-H190)</x:f>
      </x:c>
      <x:c r="AC190" t="n">
        <x:f>IF(AND(A190&lt;&gt;"",M190="VERIFIED",N190="YES",H190&lt;&gt;"",H190&lt;L190,I190&lt;&gt;"UNASSESSABLE",I190&lt;&gt;"UNREVIEWED",I190&lt;&gt;"NOT_DUE"),1,0)</x:f>
        <x:v>0</x:v>
      </x:c>
      <x:c r="AD190" t="n">
        <x:f>IF(AND(AC190=1,I190="FULL"),1,0)</x:f>
        <x:v>0</x:v>
      </x:c>
      <x:c r="AE190" t="n">
        <x:f>IF(AND(AC190=1,OR(I190="FULL",J190="FULL")),1,0)</x:f>
        <x:v>0</x:v>
      </x:c>
      <x:c r="AF190" s="21"/>
    </x:row>
    <x:row r="191">
      <x:c r="H191" s="21"/>
      <x:c r="K191" s="21"/>
      <x:c r="L191" s="21"/>
      <x:c r="Z191" t="str">
        <x:f>IF(A191="","",IF(M191="EXCLUDED","EXCLUDED",IF(M191&lt;&gt;"VERIFIED","UNREVIEWED",IF(OR(H191="",I191="UNASSESSABLE",J191="UNASSESSABLE"),"UNSCORABLE",IF(H191&gt;=L191,IF(J191="FULL","CORRECT","PENDING"),IF(I191="FULL","CORRECT",IF(J191="FULL","LATE",IF(OR(I191="PARTIAL",J191="PARTIAL"),"PARTIAL","WRONG / MISSED"))))))))</x:f>
      </x:c>
      <x:c r="AA191" t="str">
        <x:f>IF(OR(A191="",M191&lt;&gt;"VERIFIED",H191="",K191="",J191&lt;&gt;"FULL"),"",K191-H191)</x:f>
      </x:c>
      <x:c r="AB191" t="str">
        <x:f>IF(OR(A191="",M191&lt;&gt;"VERIFIED",H191="",H191&gt;=L191,J191="FULL",J191="UNASSESSABLE"),"",L191-H191)</x:f>
      </x:c>
      <x:c r="AC191" t="n">
        <x:f>IF(AND(A191&lt;&gt;"",M191="VERIFIED",N191="YES",H191&lt;&gt;"",H191&lt;L191,I191&lt;&gt;"UNASSESSABLE",I191&lt;&gt;"UNREVIEWED",I191&lt;&gt;"NOT_DUE"),1,0)</x:f>
        <x:v>0</x:v>
      </x:c>
      <x:c r="AD191" t="n">
        <x:f>IF(AND(AC191=1,I191="FULL"),1,0)</x:f>
        <x:v>0</x:v>
      </x:c>
      <x:c r="AE191" t="n">
        <x:f>IF(AND(AC191=1,OR(I191="FULL",J191="FULL")),1,0)</x:f>
        <x:v>0</x:v>
      </x:c>
      <x:c r="AF191" s="21"/>
    </x:row>
    <x:row r="192">
      <x:c r="H192" s="21"/>
      <x:c r="K192" s="21"/>
      <x:c r="L192" s="21"/>
      <x:c r="Z192" t="str">
        <x:f>IF(A192="","",IF(M192="EXCLUDED","EXCLUDED",IF(M192&lt;&gt;"VERIFIED","UNREVIEWED",IF(OR(H192="",I192="UNASSESSABLE",J192="UNASSESSABLE"),"UNSCORABLE",IF(H192&gt;=L192,IF(J192="FULL","CORRECT","PENDING"),IF(I192="FULL","CORRECT",IF(J192="FULL","LATE",IF(OR(I192="PARTIAL",J192="PARTIAL"),"PARTIAL","WRONG / MISSED"))))))))</x:f>
      </x:c>
      <x:c r="AA192" t="str">
        <x:f>IF(OR(A192="",M192&lt;&gt;"VERIFIED",H192="",K192="",J192&lt;&gt;"FULL"),"",K192-H192)</x:f>
      </x:c>
      <x:c r="AB192" t="str">
        <x:f>IF(OR(A192="",M192&lt;&gt;"VERIFIED",H192="",H192&gt;=L192,J192="FULL",J192="UNASSESSABLE"),"",L192-H192)</x:f>
      </x:c>
      <x:c r="AC192" t="n">
        <x:f>IF(AND(A192&lt;&gt;"",M192="VERIFIED",N192="YES",H192&lt;&gt;"",H192&lt;L192,I192&lt;&gt;"UNASSESSABLE",I192&lt;&gt;"UNREVIEWED",I192&lt;&gt;"NOT_DUE"),1,0)</x:f>
        <x:v>0</x:v>
      </x:c>
      <x:c r="AD192" t="n">
        <x:f>IF(AND(AC192=1,I192="FULL"),1,0)</x:f>
        <x:v>0</x:v>
      </x:c>
      <x:c r="AE192" t="n">
        <x:f>IF(AND(AC192=1,OR(I192="FULL",J192="FULL")),1,0)</x:f>
        <x:v>0</x:v>
      </x:c>
      <x:c r="AF192" s="21"/>
    </x:row>
    <x:row r="193">
      <x:c r="H193" s="21"/>
      <x:c r="K193" s="21"/>
      <x:c r="L193" s="21"/>
      <x:c r="Z193" t="str">
        <x:f>IF(A193="","",IF(M193="EXCLUDED","EXCLUDED",IF(M193&lt;&gt;"VERIFIED","UNREVIEWED",IF(OR(H193="",I193="UNASSESSABLE",J193="UNASSESSABLE"),"UNSCORABLE",IF(H193&gt;=L193,IF(J193="FULL","CORRECT","PENDING"),IF(I193="FULL","CORRECT",IF(J193="FULL","LATE",IF(OR(I193="PARTIAL",J193="PARTIAL"),"PARTIAL","WRONG / MISSED"))))))))</x:f>
      </x:c>
      <x:c r="AA193" t="str">
        <x:f>IF(OR(A193="",M193&lt;&gt;"VERIFIED",H193="",K193="",J193&lt;&gt;"FULL"),"",K193-H193)</x:f>
      </x:c>
      <x:c r="AB193" t="str">
        <x:f>IF(OR(A193="",M193&lt;&gt;"VERIFIED",H193="",H193&gt;=L193,J193="FULL",J193="UNASSESSABLE"),"",L193-H193)</x:f>
      </x:c>
      <x:c r="AC193" t="n">
        <x:f>IF(AND(A193&lt;&gt;"",M193="VERIFIED",N193="YES",H193&lt;&gt;"",H193&lt;L193,I193&lt;&gt;"UNASSESSABLE",I193&lt;&gt;"UNREVIEWED",I193&lt;&gt;"NOT_DUE"),1,0)</x:f>
        <x:v>0</x:v>
      </x:c>
      <x:c r="AD193" t="n">
        <x:f>IF(AND(AC193=1,I193="FULL"),1,0)</x:f>
        <x:v>0</x:v>
      </x:c>
      <x:c r="AE193" t="n">
        <x:f>IF(AND(AC193=1,OR(I193="FULL",J193="FULL")),1,0)</x:f>
        <x:v>0</x:v>
      </x:c>
      <x:c r="AF193" s="21"/>
    </x:row>
    <x:row r="194">
      <x:c r="H194" s="21"/>
      <x:c r="K194" s="21"/>
      <x:c r="L194" s="21"/>
      <x:c r="Z194" t="str">
        <x:f>IF(A194="","",IF(M194="EXCLUDED","EXCLUDED",IF(M194&lt;&gt;"VERIFIED","UNREVIEWED",IF(OR(H194="",I194="UNASSESSABLE",J194="UNASSESSABLE"),"UNSCORABLE",IF(H194&gt;=L194,IF(J194="FULL","CORRECT","PENDING"),IF(I194="FULL","CORRECT",IF(J194="FULL","LATE",IF(OR(I194="PARTIAL",J194="PARTIAL"),"PARTIAL","WRONG / MISSED"))))))))</x:f>
      </x:c>
      <x:c r="AA194" t="str">
        <x:f>IF(OR(A194="",M194&lt;&gt;"VERIFIED",H194="",K194="",J194&lt;&gt;"FULL"),"",K194-H194)</x:f>
      </x:c>
      <x:c r="AB194" t="str">
        <x:f>IF(OR(A194="",M194&lt;&gt;"VERIFIED",H194="",H194&gt;=L194,J194="FULL",J194="UNASSESSABLE"),"",L194-H194)</x:f>
      </x:c>
      <x:c r="AC194" t="n">
        <x:f>IF(AND(A194&lt;&gt;"",M194="VERIFIED",N194="YES",H194&lt;&gt;"",H194&lt;L194,I194&lt;&gt;"UNASSESSABLE",I194&lt;&gt;"UNREVIEWED",I194&lt;&gt;"NOT_DUE"),1,0)</x:f>
        <x:v>0</x:v>
      </x:c>
      <x:c r="AD194" t="n">
        <x:f>IF(AND(AC194=1,I194="FULL"),1,0)</x:f>
        <x:v>0</x:v>
      </x:c>
      <x:c r="AE194" t="n">
        <x:f>IF(AND(AC194=1,OR(I194="FULL",J194="FULL")),1,0)</x:f>
        <x:v>0</x:v>
      </x:c>
      <x:c r="AF194" s="21"/>
    </x:row>
    <x:row r="195">
      <x:c r="H195" s="21"/>
      <x:c r="K195" s="21"/>
      <x:c r="L195" s="21"/>
      <x:c r="Z195" t="str">
        <x:f>IF(A195="","",IF(M195="EXCLUDED","EXCLUDED",IF(M195&lt;&gt;"VERIFIED","UNREVIEWED",IF(OR(H195="",I195="UNASSESSABLE",J195="UNASSESSABLE"),"UNSCORABLE",IF(H195&gt;=L195,IF(J195="FULL","CORRECT","PENDING"),IF(I195="FULL","CORRECT",IF(J195="FULL","LATE",IF(OR(I195="PARTIAL",J195="PARTIAL"),"PARTIAL","WRONG / MISSED"))))))))</x:f>
      </x:c>
      <x:c r="AA195" t="str">
        <x:f>IF(OR(A195="",M195&lt;&gt;"VERIFIED",H195="",K195="",J195&lt;&gt;"FULL"),"",K195-H195)</x:f>
      </x:c>
      <x:c r="AB195" t="str">
        <x:f>IF(OR(A195="",M195&lt;&gt;"VERIFIED",H195="",H195&gt;=L195,J195="FULL",J195="UNASSESSABLE"),"",L195-H195)</x:f>
      </x:c>
      <x:c r="AC195" t="n">
        <x:f>IF(AND(A195&lt;&gt;"",M195="VERIFIED",N195="YES",H195&lt;&gt;"",H195&lt;L195,I195&lt;&gt;"UNASSESSABLE",I195&lt;&gt;"UNREVIEWED",I195&lt;&gt;"NOT_DUE"),1,0)</x:f>
        <x:v>0</x:v>
      </x:c>
      <x:c r="AD195" t="n">
        <x:f>IF(AND(AC195=1,I195="FULL"),1,0)</x:f>
        <x:v>0</x:v>
      </x:c>
      <x:c r="AE195" t="n">
        <x:f>IF(AND(AC195=1,OR(I195="FULL",J195="FULL")),1,0)</x:f>
        <x:v>0</x:v>
      </x:c>
      <x:c r="AF195" s="21"/>
    </x:row>
    <x:row r="196">
      <x:c r="H196" s="21"/>
      <x:c r="K196" s="21"/>
      <x:c r="L196" s="21"/>
      <x:c r="Z196" t="str">
        <x:f>IF(A196="","",IF(M196="EXCLUDED","EXCLUDED",IF(M196&lt;&gt;"VERIFIED","UNREVIEWED",IF(OR(H196="",I196="UNASSESSABLE",J196="UNASSESSABLE"),"UNSCORABLE",IF(H196&gt;=L196,IF(J196="FULL","CORRECT","PENDING"),IF(I196="FULL","CORRECT",IF(J196="FULL","LATE",IF(OR(I196="PARTIAL",J196="PARTIAL"),"PARTIAL","WRONG / MISSED"))))))))</x:f>
      </x:c>
      <x:c r="AA196" t="str">
        <x:f>IF(OR(A196="",M196&lt;&gt;"VERIFIED",H196="",K196="",J196&lt;&gt;"FULL"),"",K196-H196)</x:f>
      </x:c>
      <x:c r="AB196" t="str">
        <x:f>IF(OR(A196="",M196&lt;&gt;"VERIFIED",H196="",H196&gt;=L196,J196="FULL",J196="UNASSESSABLE"),"",L196-H196)</x:f>
      </x:c>
      <x:c r="AC196" t="n">
        <x:f>IF(AND(A196&lt;&gt;"",M196="VERIFIED",N196="YES",H196&lt;&gt;"",H196&lt;L196,I196&lt;&gt;"UNASSESSABLE",I196&lt;&gt;"UNREVIEWED",I196&lt;&gt;"NOT_DUE"),1,0)</x:f>
        <x:v>0</x:v>
      </x:c>
      <x:c r="AD196" t="n">
        <x:f>IF(AND(AC196=1,I196="FULL"),1,0)</x:f>
        <x:v>0</x:v>
      </x:c>
      <x:c r="AE196" t="n">
        <x:f>IF(AND(AC196=1,OR(I196="FULL",J196="FULL")),1,0)</x:f>
        <x:v>0</x:v>
      </x:c>
      <x:c r="AF196" s="21"/>
    </x:row>
    <x:row r="197">
      <x:c r="H197" s="21"/>
      <x:c r="K197" s="21"/>
      <x:c r="L197" s="21"/>
      <x:c r="Z197" t="str">
        <x:f>IF(A197="","",IF(M197="EXCLUDED","EXCLUDED",IF(M197&lt;&gt;"VERIFIED","UNREVIEWED",IF(OR(H197="",I197="UNASSESSABLE",J197="UNASSESSABLE"),"UNSCORABLE",IF(H197&gt;=L197,IF(J197="FULL","CORRECT","PENDING"),IF(I197="FULL","CORRECT",IF(J197="FULL","LATE",IF(OR(I197="PARTIAL",J197="PARTIAL"),"PARTIAL","WRONG / MISSED"))))))))</x:f>
      </x:c>
      <x:c r="AA197" t="str">
        <x:f>IF(OR(A197="",M197&lt;&gt;"VERIFIED",H197="",K197="",J197&lt;&gt;"FULL"),"",K197-H197)</x:f>
      </x:c>
      <x:c r="AB197" t="str">
        <x:f>IF(OR(A197="",M197&lt;&gt;"VERIFIED",H197="",H197&gt;=L197,J197="FULL",J197="UNASSESSABLE"),"",L197-H197)</x:f>
      </x:c>
      <x:c r="AC197" t="n">
        <x:f>IF(AND(A197&lt;&gt;"",M197="VERIFIED",N197="YES",H197&lt;&gt;"",H197&lt;L197,I197&lt;&gt;"UNASSESSABLE",I197&lt;&gt;"UNREVIEWED",I197&lt;&gt;"NOT_DUE"),1,0)</x:f>
        <x:v>0</x:v>
      </x:c>
      <x:c r="AD197" t="n">
        <x:f>IF(AND(AC197=1,I197="FULL"),1,0)</x:f>
        <x:v>0</x:v>
      </x:c>
      <x:c r="AE197" t="n">
        <x:f>IF(AND(AC197=1,OR(I197="FULL",J197="FULL")),1,0)</x:f>
        <x:v>0</x:v>
      </x:c>
      <x:c r="AF197" s="21"/>
    </x:row>
    <x:row r="198">
      <x:c r="H198" s="21"/>
      <x:c r="K198" s="21"/>
      <x:c r="L198" s="21"/>
      <x:c r="Z198" t="str">
        <x:f>IF(A198="","",IF(M198="EXCLUDED","EXCLUDED",IF(M198&lt;&gt;"VERIFIED","UNREVIEWED",IF(OR(H198="",I198="UNASSESSABLE",J198="UNASSESSABLE"),"UNSCORABLE",IF(H198&gt;=L198,IF(J198="FULL","CORRECT","PENDING"),IF(I198="FULL","CORRECT",IF(J198="FULL","LATE",IF(OR(I198="PARTIAL",J198="PARTIAL"),"PARTIAL","WRONG / MISSED"))))))))</x:f>
      </x:c>
      <x:c r="AA198" t="str">
        <x:f>IF(OR(A198="",M198&lt;&gt;"VERIFIED",H198="",K198="",J198&lt;&gt;"FULL"),"",K198-H198)</x:f>
      </x:c>
      <x:c r="AB198" t="str">
        <x:f>IF(OR(A198="",M198&lt;&gt;"VERIFIED",H198="",H198&gt;=L198,J198="FULL",J198="UNASSESSABLE"),"",L198-H198)</x:f>
      </x:c>
      <x:c r="AC198" t="n">
        <x:f>IF(AND(A198&lt;&gt;"",M198="VERIFIED",N198="YES",H198&lt;&gt;"",H198&lt;L198,I198&lt;&gt;"UNASSESSABLE",I198&lt;&gt;"UNREVIEWED",I198&lt;&gt;"NOT_DUE"),1,0)</x:f>
        <x:v>0</x:v>
      </x:c>
      <x:c r="AD198" t="n">
        <x:f>IF(AND(AC198=1,I198="FULL"),1,0)</x:f>
        <x:v>0</x:v>
      </x:c>
      <x:c r="AE198" t="n">
        <x:f>IF(AND(AC198=1,OR(I198="FULL",J198="FULL")),1,0)</x:f>
        <x:v>0</x:v>
      </x:c>
      <x:c r="AF198" s="21"/>
    </x:row>
    <x:row r="199">
      <x:c r="H199" s="21"/>
      <x:c r="K199" s="21"/>
      <x:c r="L199" s="21"/>
      <x:c r="Z199" t="str">
        <x:f>IF(A199="","",IF(M199="EXCLUDED","EXCLUDED",IF(M199&lt;&gt;"VERIFIED","UNREVIEWED",IF(OR(H199="",I199="UNASSESSABLE",J199="UNASSESSABLE"),"UNSCORABLE",IF(H199&gt;=L199,IF(J199="FULL","CORRECT","PENDING"),IF(I199="FULL","CORRECT",IF(J199="FULL","LATE",IF(OR(I199="PARTIAL",J199="PARTIAL"),"PARTIAL","WRONG / MISSED"))))))))</x:f>
      </x:c>
      <x:c r="AA199" t="str">
        <x:f>IF(OR(A199="",M199&lt;&gt;"VERIFIED",H199="",K199="",J199&lt;&gt;"FULL"),"",K199-H199)</x:f>
      </x:c>
      <x:c r="AB199" t="str">
        <x:f>IF(OR(A199="",M199&lt;&gt;"VERIFIED",H199="",H199&gt;=L199,J199="FULL",J199="UNASSESSABLE"),"",L199-H199)</x:f>
      </x:c>
      <x:c r="AC199" t="n">
        <x:f>IF(AND(A199&lt;&gt;"",M199="VERIFIED",N199="YES",H199&lt;&gt;"",H199&lt;L199,I199&lt;&gt;"UNASSESSABLE",I199&lt;&gt;"UNREVIEWED",I199&lt;&gt;"NOT_DUE"),1,0)</x:f>
        <x:v>0</x:v>
      </x:c>
      <x:c r="AD199" t="n">
        <x:f>IF(AND(AC199=1,I199="FULL"),1,0)</x:f>
        <x:v>0</x:v>
      </x:c>
      <x:c r="AE199" t="n">
        <x:f>IF(AND(AC199=1,OR(I199="FULL",J199="FULL")),1,0)</x:f>
        <x:v>0</x:v>
      </x:c>
      <x:c r="AF199" s="21"/>
    </x:row>
    <x:row r="200">
      <x:c r="H200" s="21"/>
      <x:c r="K200" s="21"/>
      <x:c r="L200" s="21"/>
      <x:c r="Z200" t="str">
        <x:f>IF(A200="","",IF(M200="EXCLUDED","EXCLUDED",IF(M200&lt;&gt;"VERIFIED","UNREVIEWED",IF(OR(H200="",I200="UNASSESSABLE",J200="UNASSESSABLE"),"UNSCORABLE",IF(H200&gt;=L200,IF(J200="FULL","CORRECT","PENDING"),IF(I200="FULL","CORRECT",IF(J200="FULL","LATE",IF(OR(I200="PARTIAL",J200="PARTIAL"),"PARTIAL","WRONG / MISSED"))))))))</x:f>
      </x:c>
      <x:c r="AA200" t="str">
        <x:f>IF(OR(A200="",M200&lt;&gt;"VERIFIED",H200="",K200="",J200&lt;&gt;"FULL"),"",K200-H200)</x:f>
      </x:c>
      <x:c r="AB200" t="str">
        <x:f>IF(OR(A200="",M200&lt;&gt;"VERIFIED",H200="",H200&gt;=L200,J200="FULL",J200="UNASSESSABLE"),"",L200-H200)</x:f>
      </x:c>
      <x:c r="AC200" t="n">
        <x:f>IF(AND(A200&lt;&gt;"",M200="VERIFIED",N200="YES",H200&lt;&gt;"",H200&lt;L200,I200&lt;&gt;"UNASSESSABLE",I200&lt;&gt;"UNREVIEWED",I200&lt;&gt;"NOT_DUE"),1,0)</x:f>
        <x:v>0</x:v>
      </x:c>
      <x:c r="AD200" t="n">
        <x:f>IF(AND(AC200=1,I200="FULL"),1,0)</x:f>
        <x:v>0</x:v>
      </x:c>
      <x:c r="AE200" t="n">
        <x:f>IF(AND(AC200=1,OR(I200="FULL",J200="FULL")),1,0)</x:f>
        <x:v>0</x:v>
      </x:c>
      <x:c r="AF200" s="21"/>
    </x:row>
    <x:row r="201">
      <x:c r="H201" s="21"/>
      <x:c r="K201" s="21"/>
      <x:c r="L201" s="21"/>
      <x:c r="Z201" t="str">
        <x:f>IF(A201="","",IF(M201="EXCLUDED","EXCLUDED",IF(M201&lt;&gt;"VERIFIED","UNREVIEWED",IF(OR(H201="",I201="UNASSESSABLE",J201="UNASSESSABLE"),"UNSCORABLE",IF(H201&gt;=L201,IF(J201="FULL","CORRECT","PENDING"),IF(I201="FULL","CORRECT",IF(J201="FULL","LATE",IF(OR(I201="PARTIAL",J201="PARTIAL"),"PARTIAL","WRONG / MISSED"))))))))</x:f>
      </x:c>
      <x:c r="AA201" t="str">
        <x:f>IF(OR(A201="",M201&lt;&gt;"VERIFIED",H201="",K201="",J201&lt;&gt;"FULL"),"",K201-H201)</x:f>
      </x:c>
      <x:c r="AB201" t="str">
        <x:f>IF(OR(A201="",M201&lt;&gt;"VERIFIED",H201="",H201&gt;=L201,J201="FULL",J201="UNASSESSABLE"),"",L201-H201)</x:f>
      </x:c>
      <x:c r="AC201" t="n">
        <x:f>IF(AND(A201&lt;&gt;"",M201="VERIFIED",N201="YES",H201&lt;&gt;"",H201&lt;L201,I201&lt;&gt;"UNASSESSABLE",I201&lt;&gt;"UNREVIEWED",I201&lt;&gt;"NOT_DUE"),1,0)</x:f>
        <x:v>0</x:v>
      </x:c>
      <x:c r="AD201" t="n">
        <x:f>IF(AND(AC201=1,I201="FULL"),1,0)</x:f>
        <x:v>0</x:v>
      </x:c>
      <x:c r="AE201" t="n">
        <x:f>IF(AND(AC201=1,OR(I201="FULL",J201="FULL")),1,0)</x:f>
        <x:v>0</x:v>
      </x:c>
      <x:c r="AF201" s="21"/>
    </x:row>
    <x:row r="202">
      <x:c r="H202" s="21"/>
      <x:c r="K202" s="21"/>
      <x:c r="L202" s="21"/>
      <x:c r="Z202" t="str">
        <x:f>IF(A202="","",IF(M202="EXCLUDED","EXCLUDED",IF(M202&lt;&gt;"VERIFIED","UNREVIEWED",IF(OR(H202="",I202="UNASSESSABLE",J202="UNASSESSABLE"),"UNSCORABLE",IF(H202&gt;=L202,IF(J202="FULL","CORRECT","PENDING"),IF(I202="FULL","CORRECT",IF(J202="FULL","LATE",IF(OR(I202="PARTIAL",J202="PARTIAL"),"PARTIAL","WRONG / MISSED"))))))))</x:f>
      </x:c>
      <x:c r="AA202" t="str">
        <x:f>IF(OR(A202="",M202&lt;&gt;"VERIFIED",H202="",K202="",J202&lt;&gt;"FULL"),"",K202-H202)</x:f>
      </x:c>
      <x:c r="AB202" t="str">
        <x:f>IF(OR(A202="",M202&lt;&gt;"VERIFIED",H202="",H202&gt;=L202,J202="FULL",J202="UNASSESSABLE"),"",L202-H202)</x:f>
      </x:c>
      <x:c r="AC202" t="n">
        <x:f>IF(AND(A202&lt;&gt;"",M202="VERIFIED",N202="YES",H202&lt;&gt;"",H202&lt;L202,I202&lt;&gt;"UNASSESSABLE",I202&lt;&gt;"UNREVIEWED",I202&lt;&gt;"NOT_DUE"),1,0)</x:f>
        <x:v>0</x:v>
      </x:c>
      <x:c r="AD202" t="n">
        <x:f>IF(AND(AC202=1,I202="FULL"),1,0)</x:f>
        <x:v>0</x:v>
      </x:c>
      <x:c r="AE202" t="n">
        <x:f>IF(AND(AC202=1,OR(I202="FULL",J202="FULL")),1,0)</x:f>
        <x:v>0</x:v>
      </x:c>
      <x:c r="AF202" s="21"/>
    </x:row>
    <x:row r="203">
      <x:c r="H203" s="21"/>
      <x:c r="K203" s="21"/>
      <x:c r="L203" s="21"/>
      <x:c r="Z203" t="str">
        <x:f>IF(A203="","",IF(M203="EXCLUDED","EXCLUDED",IF(M203&lt;&gt;"VERIFIED","UNREVIEWED",IF(OR(H203="",I203="UNASSESSABLE",J203="UNASSESSABLE"),"UNSCORABLE",IF(H203&gt;=L203,IF(J203="FULL","CORRECT","PENDING"),IF(I203="FULL","CORRECT",IF(J203="FULL","LATE",IF(OR(I203="PARTIAL",J203="PARTIAL"),"PARTIAL","WRONG / MISSED"))))))))</x:f>
      </x:c>
      <x:c r="AA203" t="str">
        <x:f>IF(OR(A203="",M203&lt;&gt;"VERIFIED",H203="",K203="",J203&lt;&gt;"FULL"),"",K203-H203)</x:f>
      </x:c>
      <x:c r="AB203" t="str">
        <x:f>IF(OR(A203="",M203&lt;&gt;"VERIFIED",H203="",H203&gt;=L203,J203="FULL",J203="UNASSESSABLE"),"",L203-H203)</x:f>
      </x:c>
      <x:c r="AC203" t="n">
        <x:f>IF(AND(A203&lt;&gt;"",M203="VERIFIED",N203="YES",H203&lt;&gt;"",H203&lt;L203,I203&lt;&gt;"UNASSESSABLE",I203&lt;&gt;"UNREVIEWED",I203&lt;&gt;"NOT_DUE"),1,0)</x:f>
        <x:v>0</x:v>
      </x:c>
      <x:c r="AD203" t="n">
        <x:f>IF(AND(AC203=1,I203="FULL"),1,0)</x:f>
        <x:v>0</x:v>
      </x:c>
      <x:c r="AE203" t="n">
        <x:f>IF(AND(AC203=1,OR(I203="FULL",J203="FULL")),1,0)</x:f>
        <x:v>0</x:v>
      </x:c>
      <x:c r="AF203" s="21"/>
    </x:row>
    <x:row r="204">
      <x:c r="H204" s="21"/>
      <x:c r="K204" s="21"/>
      <x:c r="L204" s="21"/>
      <x:c r="Z204" t="str">
        <x:f>IF(A204="","",IF(M204="EXCLUDED","EXCLUDED",IF(M204&lt;&gt;"VERIFIED","UNREVIEWED",IF(OR(H204="",I204="UNASSESSABLE",J204="UNASSESSABLE"),"UNSCORABLE",IF(H204&gt;=L204,IF(J204="FULL","CORRECT","PENDING"),IF(I204="FULL","CORRECT",IF(J204="FULL","LATE",IF(OR(I204="PARTIAL",J204="PARTIAL"),"PARTIAL","WRONG / MISSED"))))))))</x:f>
      </x:c>
      <x:c r="AA204" t="str">
        <x:f>IF(OR(A204="",M204&lt;&gt;"VERIFIED",H204="",K204="",J204&lt;&gt;"FULL"),"",K204-H204)</x:f>
      </x:c>
      <x:c r="AB204" t="str">
        <x:f>IF(OR(A204="",M204&lt;&gt;"VERIFIED",H204="",H204&gt;=L204,J204="FULL",J204="UNASSESSABLE"),"",L204-H204)</x:f>
      </x:c>
      <x:c r="AC204" t="n">
        <x:f>IF(AND(A204&lt;&gt;"",M204="VERIFIED",N204="YES",H204&lt;&gt;"",H204&lt;L204,I204&lt;&gt;"UNASSESSABLE",I204&lt;&gt;"UNREVIEWED",I204&lt;&gt;"NOT_DUE"),1,0)</x:f>
        <x:v>0</x:v>
      </x:c>
      <x:c r="AD204" t="n">
        <x:f>IF(AND(AC204=1,I204="FULL"),1,0)</x:f>
        <x:v>0</x:v>
      </x:c>
      <x:c r="AE204" t="n">
        <x:f>IF(AND(AC204=1,OR(I204="FULL",J204="FULL")),1,0)</x:f>
        <x:v>0</x:v>
      </x:c>
      <x:c r="AF204" s="21"/>
    </x:row>
    <x:row r="205">
      <x:c r="H205" s="21"/>
      <x:c r="K205" s="21"/>
      <x:c r="L205" s="21"/>
      <x:c r="Z205" t="str">
        <x:f>IF(A205="","",IF(M205="EXCLUDED","EXCLUDED",IF(M205&lt;&gt;"VERIFIED","UNREVIEWED",IF(OR(H205="",I205="UNASSESSABLE",J205="UNASSESSABLE"),"UNSCORABLE",IF(H205&gt;=L205,IF(J205="FULL","CORRECT","PENDING"),IF(I205="FULL","CORRECT",IF(J205="FULL","LATE",IF(OR(I205="PARTIAL",J205="PARTIAL"),"PARTIAL","WRONG / MISSED"))))))))</x:f>
      </x:c>
      <x:c r="AA205" t="str">
        <x:f>IF(OR(A205="",M205&lt;&gt;"VERIFIED",H205="",K205="",J205&lt;&gt;"FULL"),"",K205-H205)</x:f>
      </x:c>
      <x:c r="AB205" t="str">
        <x:f>IF(OR(A205="",M205&lt;&gt;"VERIFIED",H205="",H205&gt;=L205,J205="FULL",J205="UNASSESSABLE"),"",L205-H205)</x:f>
      </x:c>
      <x:c r="AC205" t="n">
        <x:f>IF(AND(A205&lt;&gt;"",M205="VERIFIED",N205="YES",H205&lt;&gt;"",H205&lt;L205,I205&lt;&gt;"UNASSESSABLE",I205&lt;&gt;"UNREVIEWED",I205&lt;&gt;"NOT_DUE"),1,0)</x:f>
        <x:v>0</x:v>
      </x:c>
      <x:c r="AD205" t="n">
        <x:f>IF(AND(AC205=1,I205="FULL"),1,0)</x:f>
        <x:v>0</x:v>
      </x:c>
      <x:c r="AE205" t="n">
        <x:f>IF(AND(AC205=1,OR(I205="FULL",J205="FULL")),1,0)</x:f>
        <x:v>0</x:v>
      </x:c>
      <x:c r="AF205" s="21"/>
    </x:row>
    <x:row r="206">
      <x:c r="H206" s="21"/>
      <x:c r="K206" s="21"/>
      <x:c r="L206" s="21"/>
      <x:c r="Z206" t="str">
        <x:f>IF(A206="","",IF(M206="EXCLUDED","EXCLUDED",IF(M206&lt;&gt;"VERIFIED","UNREVIEWED",IF(OR(H206="",I206="UNASSESSABLE",J206="UNASSESSABLE"),"UNSCORABLE",IF(H206&gt;=L206,IF(J206="FULL","CORRECT","PENDING"),IF(I206="FULL","CORRECT",IF(J206="FULL","LATE",IF(OR(I206="PARTIAL",J206="PARTIAL"),"PARTIAL","WRONG / MISSED"))))))))</x:f>
      </x:c>
      <x:c r="AA206" t="str">
        <x:f>IF(OR(A206="",M206&lt;&gt;"VERIFIED",H206="",K206="",J206&lt;&gt;"FULL"),"",K206-H206)</x:f>
      </x:c>
      <x:c r="AB206" t="str">
        <x:f>IF(OR(A206="",M206&lt;&gt;"VERIFIED",H206="",H206&gt;=L206,J206="FULL",J206="UNASSESSABLE"),"",L206-H206)</x:f>
      </x:c>
      <x:c r="AC206" t="n">
        <x:f>IF(AND(A206&lt;&gt;"",M206="VERIFIED",N206="YES",H206&lt;&gt;"",H206&lt;L206,I206&lt;&gt;"UNASSESSABLE",I206&lt;&gt;"UNREVIEWED",I206&lt;&gt;"NOT_DUE"),1,0)</x:f>
        <x:v>0</x:v>
      </x:c>
      <x:c r="AD206" t="n">
        <x:f>IF(AND(AC206=1,I206="FULL"),1,0)</x:f>
        <x:v>0</x:v>
      </x:c>
      <x:c r="AE206" t="n">
        <x:f>IF(AND(AC206=1,OR(I206="FULL",J206="FULL")),1,0)</x:f>
        <x:v>0</x:v>
      </x:c>
      <x:c r="AF206" s="21"/>
    </x:row>
    <x:row r="207">
      <x:c r="H207" s="21"/>
      <x:c r="K207" s="21"/>
      <x:c r="L207" s="21"/>
      <x:c r="Z207" t="str">
        <x:f>IF(A207="","",IF(M207="EXCLUDED","EXCLUDED",IF(M207&lt;&gt;"VERIFIED","UNREVIEWED",IF(OR(H207="",I207="UNASSESSABLE",J207="UNASSESSABLE"),"UNSCORABLE",IF(H207&gt;=L207,IF(J207="FULL","CORRECT","PENDING"),IF(I207="FULL","CORRECT",IF(J207="FULL","LATE",IF(OR(I207="PARTIAL",J207="PARTIAL"),"PARTIAL","WRONG / MISSED"))))))))</x:f>
      </x:c>
      <x:c r="AA207" t="str">
        <x:f>IF(OR(A207="",M207&lt;&gt;"VERIFIED",H207="",K207="",J207&lt;&gt;"FULL"),"",K207-H207)</x:f>
      </x:c>
      <x:c r="AB207" t="str">
        <x:f>IF(OR(A207="",M207&lt;&gt;"VERIFIED",H207="",H207&gt;=L207,J207="FULL",J207="UNASSESSABLE"),"",L207-H207)</x:f>
      </x:c>
      <x:c r="AC207" t="n">
        <x:f>IF(AND(A207&lt;&gt;"",M207="VERIFIED",N207="YES",H207&lt;&gt;"",H207&lt;L207,I207&lt;&gt;"UNASSESSABLE",I207&lt;&gt;"UNREVIEWED",I207&lt;&gt;"NOT_DUE"),1,0)</x:f>
        <x:v>0</x:v>
      </x:c>
      <x:c r="AD207" t="n">
        <x:f>IF(AND(AC207=1,I207="FULL"),1,0)</x:f>
        <x:v>0</x:v>
      </x:c>
      <x:c r="AE207" t="n">
        <x:f>IF(AND(AC207=1,OR(I207="FULL",J207="FULL")),1,0)</x:f>
        <x:v>0</x:v>
      </x:c>
      <x:c r="AF207" s="21"/>
    </x:row>
    <x:row r="208">
      <x:c r="H208" s="21"/>
      <x:c r="K208" s="21"/>
      <x:c r="L208" s="21"/>
      <x:c r="Z208" t="str">
        <x:f>IF(A208="","",IF(M208="EXCLUDED","EXCLUDED",IF(M208&lt;&gt;"VERIFIED","UNREVIEWED",IF(OR(H208="",I208="UNASSESSABLE",J208="UNASSESSABLE"),"UNSCORABLE",IF(H208&gt;=L208,IF(J208="FULL","CORRECT","PENDING"),IF(I208="FULL","CORRECT",IF(J208="FULL","LATE",IF(OR(I208="PARTIAL",J208="PARTIAL"),"PARTIAL","WRONG / MISSED"))))))))</x:f>
      </x:c>
      <x:c r="AA208" t="str">
        <x:f>IF(OR(A208="",M208&lt;&gt;"VERIFIED",H208="",K208="",J208&lt;&gt;"FULL"),"",K208-H208)</x:f>
      </x:c>
      <x:c r="AB208" t="str">
        <x:f>IF(OR(A208="",M208&lt;&gt;"VERIFIED",H208="",H208&gt;=L208,J208="FULL",J208="UNASSESSABLE"),"",L208-H208)</x:f>
      </x:c>
      <x:c r="AC208" t="n">
        <x:f>IF(AND(A208&lt;&gt;"",M208="VERIFIED",N208="YES",H208&lt;&gt;"",H208&lt;L208,I208&lt;&gt;"UNASSESSABLE",I208&lt;&gt;"UNREVIEWED",I208&lt;&gt;"NOT_DUE"),1,0)</x:f>
        <x:v>0</x:v>
      </x:c>
      <x:c r="AD208" t="n">
        <x:f>IF(AND(AC208=1,I208="FULL"),1,0)</x:f>
        <x:v>0</x:v>
      </x:c>
      <x:c r="AE208" t="n">
        <x:f>IF(AND(AC208=1,OR(I208="FULL",J208="FULL")),1,0)</x:f>
        <x:v>0</x:v>
      </x:c>
      <x:c r="AF208" s="21"/>
    </x:row>
    <x:row r="209">
      <x:c r="H209" s="21"/>
      <x:c r="K209" s="21"/>
      <x:c r="L209" s="21"/>
      <x:c r="Z209" t="str">
        <x:f>IF(A209="","",IF(M209="EXCLUDED","EXCLUDED",IF(M209&lt;&gt;"VERIFIED","UNREVIEWED",IF(OR(H209="",I209="UNASSESSABLE",J209="UNASSESSABLE"),"UNSCORABLE",IF(H209&gt;=L209,IF(J209="FULL","CORRECT","PENDING"),IF(I209="FULL","CORRECT",IF(J209="FULL","LATE",IF(OR(I209="PARTIAL",J209="PARTIAL"),"PARTIAL","WRONG / MISSED"))))))))</x:f>
      </x:c>
      <x:c r="AA209" t="str">
        <x:f>IF(OR(A209="",M209&lt;&gt;"VERIFIED",H209="",K209="",J209&lt;&gt;"FULL"),"",K209-H209)</x:f>
      </x:c>
      <x:c r="AB209" t="str">
        <x:f>IF(OR(A209="",M209&lt;&gt;"VERIFIED",H209="",H209&gt;=L209,J209="FULL",J209="UNASSESSABLE"),"",L209-H209)</x:f>
      </x:c>
      <x:c r="AC209" t="n">
        <x:f>IF(AND(A209&lt;&gt;"",M209="VERIFIED",N209="YES",H209&lt;&gt;"",H209&lt;L209,I209&lt;&gt;"UNASSESSABLE",I209&lt;&gt;"UNREVIEWED",I209&lt;&gt;"NOT_DUE"),1,0)</x:f>
        <x:v>0</x:v>
      </x:c>
      <x:c r="AD209" t="n">
        <x:f>IF(AND(AC209=1,I209="FULL"),1,0)</x:f>
        <x:v>0</x:v>
      </x:c>
      <x:c r="AE209" t="n">
        <x:f>IF(AND(AC209=1,OR(I209="FULL",J209="FULL")),1,0)</x:f>
        <x:v>0</x:v>
      </x:c>
      <x:c r="AF209" s="21"/>
    </x:row>
    <x:row r="210">
      <x:c r="H210" s="21"/>
      <x:c r="K210" s="21"/>
      <x:c r="L210" s="21"/>
      <x:c r="Z210" t="str">
        <x:f>IF(A210="","",IF(M210="EXCLUDED","EXCLUDED",IF(M210&lt;&gt;"VERIFIED","UNREVIEWED",IF(OR(H210="",I210="UNASSESSABLE",J210="UNASSESSABLE"),"UNSCORABLE",IF(H210&gt;=L210,IF(J210="FULL","CORRECT","PENDING"),IF(I210="FULL","CORRECT",IF(J210="FULL","LATE",IF(OR(I210="PARTIAL",J210="PARTIAL"),"PARTIAL","WRONG / MISSED"))))))))</x:f>
      </x:c>
      <x:c r="AA210" t="str">
        <x:f>IF(OR(A210="",M210&lt;&gt;"VERIFIED",H210="",K210="",J210&lt;&gt;"FULL"),"",K210-H210)</x:f>
      </x:c>
      <x:c r="AB210" t="str">
        <x:f>IF(OR(A210="",M210&lt;&gt;"VERIFIED",H210="",H210&gt;=L210,J210="FULL",J210="UNASSESSABLE"),"",L210-H210)</x:f>
      </x:c>
      <x:c r="AC210" t="n">
        <x:f>IF(AND(A210&lt;&gt;"",M210="VERIFIED",N210="YES",H210&lt;&gt;"",H210&lt;L210,I210&lt;&gt;"UNASSESSABLE",I210&lt;&gt;"UNREVIEWED",I210&lt;&gt;"NOT_DUE"),1,0)</x:f>
        <x:v>0</x:v>
      </x:c>
      <x:c r="AD210" t="n">
        <x:f>IF(AND(AC210=1,I210="FULL"),1,0)</x:f>
        <x:v>0</x:v>
      </x:c>
      <x:c r="AE210" t="n">
        <x:f>IF(AND(AC210=1,OR(I210="FULL",J210="FULL")),1,0)</x:f>
        <x:v>0</x:v>
      </x:c>
      <x:c r="AF210" s="21"/>
    </x:row>
    <x:row r="211">
      <x:c r="H211" s="21"/>
      <x:c r="K211" s="21"/>
      <x:c r="L211" s="21"/>
      <x:c r="Z211" t="str">
        <x:f>IF(A211="","",IF(M211="EXCLUDED","EXCLUDED",IF(M211&lt;&gt;"VERIFIED","UNREVIEWED",IF(OR(H211="",I211="UNASSESSABLE",J211="UNASSESSABLE"),"UNSCORABLE",IF(H211&gt;=L211,IF(J211="FULL","CORRECT","PENDING"),IF(I211="FULL","CORRECT",IF(J211="FULL","LATE",IF(OR(I211="PARTIAL",J211="PARTIAL"),"PARTIAL","WRONG / MISSED"))))))))</x:f>
      </x:c>
      <x:c r="AA211" t="str">
        <x:f>IF(OR(A211="",M211&lt;&gt;"VERIFIED",H211="",K211="",J211&lt;&gt;"FULL"),"",K211-H211)</x:f>
      </x:c>
      <x:c r="AB211" t="str">
        <x:f>IF(OR(A211="",M211&lt;&gt;"VERIFIED",H211="",H211&gt;=L211,J211="FULL",J211="UNASSESSABLE"),"",L211-H211)</x:f>
      </x:c>
      <x:c r="AC211" t="n">
        <x:f>IF(AND(A211&lt;&gt;"",M211="VERIFIED",N211="YES",H211&lt;&gt;"",H211&lt;L211,I211&lt;&gt;"UNASSESSABLE",I211&lt;&gt;"UNREVIEWED",I211&lt;&gt;"NOT_DUE"),1,0)</x:f>
        <x:v>0</x:v>
      </x:c>
      <x:c r="AD211" t="n">
        <x:f>IF(AND(AC211=1,I211="FULL"),1,0)</x:f>
        <x:v>0</x:v>
      </x:c>
      <x:c r="AE211" t="n">
        <x:f>IF(AND(AC211=1,OR(I211="FULL",J211="FULL")),1,0)</x:f>
        <x:v>0</x:v>
      </x:c>
      <x:c r="AF211" s="21"/>
    </x:row>
    <x:row r="212">
      <x:c r="H212" s="21"/>
      <x:c r="K212" s="21"/>
      <x:c r="L212" s="21"/>
      <x:c r="Z212" t="str">
        <x:f>IF(A212="","",IF(M212="EXCLUDED","EXCLUDED",IF(M212&lt;&gt;"VERIFIED","UNREVIEWED",IF(OR(H212="",I212="UNASSESSABLE",J212="UNASSESSABLE"),"UNSCORABLE",IF(H212&gt;=L212,IF(J212="FULL","CORRECT","PENDING"),IF(I212="FULL","CORRECT",IF(J212="FULL","LATE",IF(OR(I212="PARTIAL",J212="PARTIAL"),"PARTIAL","WRONG / MISSED"))))))))</x:f>
      </x:c>
      <x:c r="AA212" t="str">
        <x:f>IF(OR(A212="",M212&lt;&gt;"VERIFIED",H212="",K212="",J212&lt;&gt;"FULL"),"",K212-H212)</x:f>
      </x:c>
      <x:c r="AB212" t="str">
        <x:f>IF(OR(A212="",M212&lt;&gt;"VERIFIED",H212="",H212&gt;=L212,J212="FULL",J212="UNASSESSABLE"),"",L212-H212)</x:f>
      </x:c>
      <x:c r="AC212" t="n">
        <x:f>IF(AND(A212&lt;&gt;"",M212="VERIFIED",N212="YES",H212&lt;&gt;"",H212&lt;L212,I212&lt;&gt;"UNASSESSABLE",I212&lt;&gt;"UNREVIEWED",I212&lt;&gt;"NOT_DUE"),1,0)</x:f>
        <x:v>0</x:v>
      </x:c>
      <x:c r="AD212" t="n">
        <x:f>IF(AND(AC212=1,I212="FULL"),1,0)</x:f>
        <x:v>0</x:v>
      </x:c>
      <x:c r="AE212" t="n">
        <x:f>IF(AND(AC212=1,OR(I212="FULL",J212="FULL")),1,0)</x:f>
        <x:v>0</x:v>
      </x:c>
      <x:c r="AF212" s="21"/>
    </x:row>
    <x:row r="213">
      <x:c r="H213" s="21"/>
      <x:c r="K213" s="21"/>
      <x:c r="L213" s="21"/>
      <x:c r="Z213" t="str">
        <x:f>IF(A213="","",IF(M213="EXCLUDED","EXCLUDED",IF(M213&lt;&gt;"VERIFIED","UNREVIEWED",IF(OR(H213="",I213="UNASSESSABLE",J213="UNASSESSABLE"),"UNSCORABLE",IF(H213&gt;=L213,IF(J213="FULL","CORRECT","PENDING"),IF(I213="FULL","CORRECT",IF(J213="FULL","LATE",IF(OR(I213="PARTIAL",J213="PARTIAL"),"PARTIAL","WRONG / MISSED"))))))))</x:f>
      </x:c>
      <x:c r="AA213" t="str">
        <x:f>IF(OR(A213="",M213&lt;&gt;"VERIFIED",H213="",K213="",J213&lt;&gt;"FULL"),"",K213-H213)</x:f>
      </x:c>
      <x:c r="AB213" t="str">
        <x:f>IF(OR(A213="",M213&lt;&gt;"VERIFIED",H213="",H213&gt;=L213,J213="FULL",J213="UNASSESSABLE"),"",L213-H213)</x:f>
      </x:c>
      <x:c r="AC213" t="n">
        <x:f>IF(AND(A213&lt;&gt;"",M213="VERIFIED",N213="YES",H213&lt;&gt;"",H213&lt;L213,I213&lt;&gt;"UNASSESSABLE",I213&lt;&gt;"UNREVIEWED",I213&lt;&gt;"NOT_DUE"),1,0)</x:f>
        <x:v>0</x:v>
      </x:c>
      <x:c r="AD213" t="n">
        <x:f>IF(AND(AC213=1,I213="FULL"),1,0)</x:f>
        <x:v>0</x:v>
      </x:c>
      <x:c r="AE213" t="n">
        <x:f>IF(AND(AC213=1,OR(I213="FULL",J213="FULL")),1,0)</x:f>
        <x:v>0</x:v>
      </x:c>
      <x:c r="AF213" s="21"/>
    </x:row>
    <x:row r="214">
      <x:c r="H214" s="21"/>
      <x:c r="K214" s="21"/>
      <x:c r="L214" s="21"/>
      <x:c r="Z214" t="str">
        <x:f>IF(A214="","",IF(M214="EXCLUDED","EXCLUDED",IF(M214&lt;&gt;"VERIFIED","UNREVIEWED",IF(OR(H214="",I214="UNASSESSABLE",J214="UNASSESSABLE"),"UNSCORABLE",IF(H214&gt;=L214,IF(J214="FULL","CORRECT","PENDING"),IF(I214="FULL","CORRECT",IF(J214="FULL","LATE",IF(OR(I214="PARTIAL",J214="PARTIAL"),"PARTIAL","WRONG / MISSED"))))))))</x:f>
      </x:c>
      <x:c r="AA214" t="str">
        <x:f>IF(OR(A214="",M214&lt;&gt;"VERIFIED",H214="",K214="",J214&lt;&gt;"FULL"),"",K214-H214)</x:f>
      </x:c>
      <x:c r="AB214" t="str">
        <x:f>IF(OR(A214="",M214&lt;&gt;"VERIFIED",H214="",H214&gt;=L214,J214="FULL",J214="UNASSESSABLE"),"",L214-H214)</x:f>
      </x:c>
      <x:c r="AC214" t="n">
        <x:f>IF(AND(A214&lt;&gt;"",M214="VERIFIED",N214="YES",H214&lt;&gt;"",H214&lt;L214,I214&lt;&gt;"UNASSESSABLE",I214&lt;&gt;"UNREVIEWED",I214&lt;&gt;"NOT_DUE"),1,0)</x:f>
        <x:v>0</x:v>
      </x:c>
      <x:c r="AD214" t="n">
        <x:f>IF(AND(AC214=1,I214="FULL"),1,0)</x:f>
        <x:v>0</x:v>
      </x:c>
      <x:c r="AE214" t="n">
        <x:f>IF(AND(AC214=1,OR(I214="FULL",J214="FULL")),1,0)</x:f>
        <x:v>0</x:v>
      </x:c>
      <x:c r="AF214" s="21"/>
    </x:row>
    <x:row r="215">
      <x:c r="H215" s="21"/>
      <x:c r="K215" s="21"/>
      <x:c r="L215" s="21"/>
      <x:c r="Z215" t="str">
        <x:f>IF(A215="","",IF(M215="EXCLUDED","EXCLUDED",IF(M215&lt;&gt;"VERIFIED","UNREVIEWED",IF(OR(H215="",I215="UNASSESSABLE",J215="UNASSESSABLE"),"UNSCORABLE",IF(H215&gt;=L215,IF(J215="FULL","CORRECT","PENDING"),IF(I215="FULL","CORRECT",IF(J215="FULL","LATE",IF(OR(I215="PARTIAL",J215="PARTIAL"),"PARTIAL","WRONG / MISSED"))))))))</x:f>
      </x:c>
      <x:c r="AA215" t="str">
        <x:f>IF(OR(A215="",M215&lt;&gt;"VERIFIED",H215="",K215="",J215&lt;&gt;"FULL"),"",K215-H215)</x:f>
      </x:c>
      <x:c r="AB215" t="str">
        <x:f>IF(OR(A215="",M215&lt;&gt;"VERIFIED",H215="",H215&gt;=L215,J215="FULL",J215="UNASSESSABLE"),"",L215-H215)</x:f>
      </x:c>
      <x:c r="AC215" t="n">
        <x:f>IF(AND(A215&lt;&gt;"",M215="VERIFIED",N215="YES",H215&lt;&gt;"",H215&lt;L215,I215&lt;&gt;"UNASSESSABLE",I215&lt;&gt;"UNREVIEWED",I215&lt;&gt;"NOT_DUE"),1,0)</x:f>
        <x:v>0</x:v>
      </x:c>
      <x:c r="AD215" t="n">
        <x:f>IF(AND(AC215=1,I215="FULL"),1,0)</x:f>
        <x:v>0</x:v>
      </x:c>
      <x:c r="AE215" t="n">
        <x:f>IF(AND(AC215=1,OR(I215="FULL",J215="FULL")),1,0)</x:f>
        <x:v>0</x:v>
      </x:c>
      <x:c r="AF215" s="21"/>
    </x:row>
    <x:row r="216">
      <x:c r="H216" s="21"/>
      <x:c r="K216" s="21"/>
      <x:c r="L216" s="21"/>
      <x:c r="Z216" t="str">
        <x:f>IF(A216="","",IF(M216="EXCLUDED","EXCLUDED",IF(M216&lt;&gt;"VERIFIED","UNREVIEWED",IF(OR(H216="",I216="UNASSESSABLE",J216="UNASSESSABLE"),"UNSCORABLE",IF(H216&gt;=L216,IF(J216="FULL","CORRECT","PENDING"),IF(I216="FULL","CORRECT",IF(J216="FULL","LATE",IF(OR(I216="PARTIAL",J216="PARTIAL"),"PARTIAL","WRONG / MISSED"))))))))</x:f>
      </x:c>
      <x:c r="AA216" t="str">
        <x:f>IF(OR(A216="",M216&lt;&gt;"VERIFIED",H216="",K216="",J216&lt;&gt;"FULL"),"",K216-H216)</x:f>
      </x:c>
      <x:c r="AB216" t="str">
        <x:f>IF(OR(A216="",M216&lt;&gt;"VERIFIED",H216="",H216&gt;=L216,J216="FULL",J216="UNASSESSABLE"),"",L216-H216)</x:f>
      </x:c>
      <x:c r="AC216" t="n">
        <x:f>IF(AND(A216&lt;&gt;"",M216="VERIFIED",N216="YES",H216&lt;&gt;"",H216&lt;L216,I216&lt;&gt;"UNASSESSABLE",I216&lt;&gt;"UNREVIEWED",I216&lt;&gt;"NOT_DUE"),1,0)</x:f>
        <x:v>0</x:v>
      </x:c>
      <x:c r="AD216" t="n">
        <x:f>IF(AND(AC216=1,I216="FULL"),1,0)</x:f>
        <x:v>0</x:v>
      </x:c>
      <x:c r="AE216" t="n">
        <x:f>IF(AND(AC216=1,OR(I216="FULL",J216="FULL")),1,0)</x:f>
        <x:v>0</x:v>
      </x:c>
      <x:c r="AF216" s="21"/>
    </x:row>
    <x:row r="217">
      <x:c r="H217" s="21"/>
      <x:c r="K217" s="21"/>
      <x:c r="L217" s="21"/>
      <x:c r="Z217" t="str">
        <x:f>IF(A217="","",IF(M217="EXCLUDED","EXCLUDED",IF(M217&lt;&gt;"VERIFIED","UNREVIEWED",IF(OR(H217="",I217="UNASSESSABLE",J217="UNASSESSABLE"),"UNSCORABLE",IF(H217&gt;=L217,IF(J217="FULL","CORRECT","PENDING"),IF(I217="FULL","CORRECT",IF(J217="FULL","LATE",IF(OR(I217="PARTIAL",J217="PARTIAL"),"PARTIAL","WRONG / MISSED"))))))))</x:f>
      </x:c>
      <x:c r="AA217" t="str">
        <x:f>IF(OR(A217="",M217&lt;&gt;"VERIFIED",H217="",K217="",J217&lt;&gt;"FULL"),"",K217-H217)</x:f>
      </x:c>
      <x:c r="AB217" t="str">
        <x:f>IF(OR(A217="",M217&lt;&gt;"VERIFIED",H217="",H217&gt;=L217,J217="FULL",J217="UNASSESSABLE"),"",L217-H217)</x:f>
      </x:c>
      <x:c r="AC217" t="n">
        <x:f>IF(AND(A217&lt;&gt;"",M217="VERIFIED",N217="YES",H217&lt;&gt;"",H217&lt;L217,I217&lt;&gt;"UNASSESSABLE",I217&lt;&gt;"UNREVIEWED",I217&lt;&gt;"NOT_DUE"),1,0)</x:f>
        <x:v>0</x:v>
      </x:c>
      <x:c r="AD217" t="n">
        <x:f>IF(AND(AC217=1,I217="FULL"),1,0)</x:f>
        <x:v>0</x:v>
      </x:c>
      <x:c r="AE217" t="n">
        <x:f>IF(AND(AC217=1,OR(I217="FULL",J217="FULL")),1,0)</x:f>
        <x:v>0</x:v>
      </x:c>
      <x:c r="AF217" s="21"/>
    </x:row>
    <x:row r="218">
      <x:c r="H218" s="21"/>
      <x:c r="K218" s="21"/>
      <x:c r="L218" s="21"/>
      <x:c r="Z218" t="str">
        <x:f>IF(A218="","",IF(M218="EXCLUDED","EXCLUDED",IF(M218&lt;&gt;"VERIFIED","UNREVIEWED",IF(OR(H218="",I218="UNASSESSABLE",J218="UNASSESSABLE"),"UNSCORABLE",IF(H218&gt;=L218,IF(J218="FULL","CORRECT","PENDING"),IF(I218="FULL","CORRECT",IF(J218="FULL","LATE",IF(OR(I218="PARTIAL",J218="PARTIAL"),"PARTIAL","WRONG / MISSED"))))))))</x:f>
      </x:c>
      <x:c r="AA218" t="str">
        <x:f>IF(OR(A218="",M218&lt;&gt;"VERIFIED",H218="",K218="",J218&lt;&gt;"FULL"),"",K218-H218)</x:f>
      </x:c>
      <x:c r="AB218" t="str">
        <x:f>IF(OR(A218="",M218&lt;&gt;"VERIFIED",H218="",H218&gt;=L218,J218="FULL",J218="UNASSESSABLE"),"",L218-H218)</x:f>
      </x:c>
      <x:c r="AC218" t="n">
        <x:f>IF(AND(A218&lt;&gt;"",M218="VERIFIED",N218="YES",H218&lt;&gt;"",H218&lt;L218,I218&lt;&gt;"UNASSESSABLE",I218&lt;&gt;"UNREVIEWED",I218&lt;&gt;"NOT_DUE"),1,0)</x:f>
        <x:v>0</x:v>
      </x:c>
      <x:c r="AD218" t="n">
        <x:f>IF(AND(AC218=1,I218="FULL"),1,0)</x:f>
        <x:v>0</x:v>
      </x:c>
      <x:c r="AE218" t="n">
        <x:f>IF(AND(AC218=1,OR(I218="FULL",J218="FULL")),1,0)</x:f>
        <x:v>0</x:v>
      </x:c>
      <x:c r="AF218" s="21"/>
    </x:row>
    <x:row r="219">
      <x:c r="H219" s="21"/>
      <x:c r="K219" s="21"/>
      <x:c r="L219" s="21"/>
      <x:c r="Z219" t="str">
        <x:f>IF(A219="","",IF(M219="EXCLUDED","EXCLUDED",IF(M219&lt;&gt;"VERIFIED","UNREVIEWED",IF(OR(H219="",I219="UNASSESSABLE",J219="UNASSESSABLE"),"UNSCORABLE",IF(H219&gt;=L219,IF(J219="FULL","CORRECT","PENDING"),IF(I219="FULL","CORRECT",IF(J219="FULL","LATE",IF(OR(I219="PARTIAL",J219="PARTIAL"),"PARTIAL","WRONG / MISSED"))))))))</x:f>
      </x:c>
      <x:c r="AA219" t="str">
        <x:f>IF(OR(A219="",M219&lt;&gt;"VERIFIED",H219="",K219="",J219&lt;&gt;"FULL"),"",K219-H219)</x:f>
      </x:c>
      <x:c r="AB219" t="str">
        <x:f>IF(OR(A219="",M219&lt;&gt;"VERIFIED",H219="",H219&gt;=L219,J219="FULL",J219="UNASSESSABLE"),"",L219-H219)</x:f>
      </x:c>
      <x:c r="AC219" t="n">
        <x:f>IF(AND(A219&lt;&gt;"",M219="VERIFIED",N219="YES",H219&lt;&gt;"",H219&lt;L219,I219&lt;&gt;"UNASSESSABLE",I219&lt;&gt;"UNREVIEWED",I219&lt;&gt;"NOT_DUE"),1,0)</x:f>
        <x:v>0</x:v>
      </x:c>
      <x:c r="AD219" t="n">
        <x:f>IF(AND(AC219=1,I219="FULL"),1,0)</x:f>
        <x:v>0</x:v>
      </x:c>
      <x:c r="AE219" t="n">
        <x:f>IF(AND(AC219=1,OR(I219="FULL",J219="FULL")),1,0)</x:f>
        <x:v>0</x:v>
      </x:c>
      <x:c r="AF219" s="21"/>
    </x:row>
    <x:row r="220">
      <x:c r="H220" s="21"/>
      <x:c r="K220" s="21"/>
      <x:c r="L220" s="21"/>
      <x:c r="Z220" t="str">
        <x:f>IF(A220="","",IF(M220="EXCLUDED","EXCLUDED",IF(M220&lt;&gt;"VERIFIED","UNREVIEWED",IF(OR(H220="",I220="UNASSESSABLE",J220="UNASSESSABLE"),"UNSCORABLE",IF(H220&gt;=L220,IF(J220="FULL","CORRECT","PENDING"),IF(I220="FULL","CORRECT",IF(J220="FULL","LATE",IF(OR(I220="PARTIAL",J220="PARTIAL"),"PARTIAL","WRONG / MISSED"))))))))</x:f>
      </x:c>
      <x:c r="AA220" t="str">
        <x:f>IF(OR(A220="",M220&lt;&gt;"VERIFIED",H220="",K220="",J220&lt;&gt;"FULL"),"",K220-H220)</x:f>
      </x:c>
      <x:c r="AB220" t="str">
        <x:f>IF(OR(A220="",M220&lt;&gt;"VERIFIED",H220="",H220&gt;=L220,J220="FULL",J220="UNASSESSABLE"),"",L220-H220)</x:f>
      </x:c>
      <x:c r="AC220" t="n">
        <x:f>IF(AND(A220&lt;&gt;"",M220="VERIFIED",N220="YES",H220&lt;&gt;"",H220&lt;L220,I220&lt;&gt;"UNASSESSABLE",I220&lt;&gt;"UNREVIEWED",I220&lt;&gt;"NOT_DUE"),1,0)</x:f>
        <x:v>0</x:v>
      </x:c>
      <x:c r="AD220" t="n">
        <x:f>IF(AND(AC220=1,I220="FULL"),1,0)</x:f>
        <x:v>0</x:v>
      </x:c>
      <x:c r="AE220" t="n">
        <x:f>IF(AND(AC220=1,OR(I220="FULL",J220="FULL")),1,0)</x:f>
        <x:v>0</x:v>
      </x:c>
      <x:c r="AF220" s="21"/>
    </x:row>
    <x:row r="221">
      <x:c r="H221" s="21"/>
      <x:c r="K221" s="21"/>
      <x:c r="L221" s="21"/>
      <x:c r="Z221" t="str">
        <x:f>IF(A221="","",IF(M221="EXCLUDED","EXCLUDED",IF(M221&lt;&gt;"VERIFIED","UNREVIEWED",IF(OR(H221="",I221="UNASSESSABLE",J221="UNASSESSABLE"),"UNSCORABLE",IF(H221&gt;=L221,IF(J221="FULL","CORRECT","PENDING"),IF(I221="FULL","CORRECT",IF(J221="FULL","LATE",IF(OR(I221="PARTIAL",J221="PARTIAL"),"PARTIAL","WRONG / MISSED"))))))))</x:f>
      </x:c>
      <x:c r="AA221" t="str">
        <x:f>IF(OR(A221="",M221&lt;&gt;"VERIFIED",H221="",K221="",J221&lt;&gt;"FULL"),"",K221-H221)</x:f>
      </x:c>
      <x:c r="AB221" t="str">
        <x:f>IF(OR(A221="",M221&lt;&gt;"VERIFIED",H221="",H221&gt;=L221,J221="FULL",J221="UNASSESSABLE"),"",L221-H221)</x:f>
      </x:c>
      <x:c r="AC221" t="n">
        <x:f>IF(AND(A221&lt;&gt;"",M221="VERIFIED",N221="YES",H221&lt;&gt;"",H221&lt;L221,I221&lt;&gt;"UNASSESSABLE",I221&lt;&gt;"UNREVIEWED",I221&lt;&gt;"NOT_DUE"),1,0)</x:f>
        <x:v>0</x:v>
      </x:c>
      <x:c r="AD221" t="n">
        <x:f>IF(AND(AC221=1,I221="FULL"),1,0)</x:f>
        <x:v>0</x:v>
      </x:c>
      <x:c r="AE221" t="n">
        <x:f>IF(AND(AC221=1,OR(I221="FULL",J221="FULL")),1,0)</x:f>
        <x:v>0</x:v>
      </x:c>
      <x:c r="AF221" s="21"/>
    </x:row>
    <x:row r="222">
      <x:c r="H222" s="21"/>
      <x:c r="K222" s="21"/>
      <x:c r="L222" s="21"/>
      <x:c r="Z222" t="str">
        <x:f>IF(A222="","",IF(M222="EXCLUDED","EXCLUDED",IF(M222&lt;&gt;"VERIFIED","UNREVIEWED",IF(OR(H222="",I222="UNASSESSABLE",J222="UNASSESSABLE"),"UNSCORABLE",IF(H222&gt;=L222,IF(J222="FULL","CORRECT","PENDING"),IF(I222="FULL","CORRECT",IF(J222="FULL","LATE",IF(OR(I222="PARTIAL",J222="PARTIAL"),"PARTIAL","WRONG / MISSED"))))))))</x:f>
      </x:c>
      <x:c r="AA222" t="str">
        <x:f>IF(OR(A222="",M222&lt;&gt;"VERIFIED",H222="",K222="",J222&lt;&gt;"FULL"),"",K222-H222)</x:f>
      </x:c>
      <x:c r="AB222" t="str">
        <x:f>IF(OR(A222="",M222&lt;&gt;"VERIFIED",H222="",H222&gt;=L222,J222="FULL",J222="UNASSESSABLE"),"",L222-H222)</x:f>
      </x:c>
      <x:c r="AC222" t="n">
        <x:f>IF(AND(A222&lt;&gt;"",M222="VERIFIED",N222="YES",H222&lt;&gt;"",H222&lt;L222,I222&lt;&gt;"UNASSESSABLE",I222&lt;&gt;"UNREVIEWED",I222&lt;&gt;"NOT_DUE"),1,0)</x:f>
        <x:v>0</x:v>
      </x:c>
      <x:c r="AD222" t="n">
        <x:f>IF(AND(AC222=1,I222="FULL"),1,0)</x:f>
        <x:v>0</x:v>
      </x:c>
      <x:c r="AE222" t="n">
        <x:f>IF(AND(AC222=1,OR(I222="FULL",J222="FULL")),1,0)</x:f>
        <x:v>0</x:v>
      </x:c>
      <x:c r="AF222" s="21"/>
    </x:row>
    <x:row r="223">
      <x:c r="H223" s="21"/>
      <x:c r="K223" s="21"/>
      <x:c r="L223" s="21"/>
      <x:c r="Z223" t="str">
        <x:f>IF(A223="","",IF(M223="EXCLUDED","EXCLUDED",IF(M223&lt;&gt;"VERIFIED","UNREVIEWED",IF(OR(H223="",I223="UNASSESSABLE",J223="UNASSESSABLE"),"UNSCORABLE",IF(H223&gt;=L223,IF(J223="FULL","CORRECT","PENDING"),IF(I223="FULL","CORRECT",IF(J223="FULL","LATE",IF(OR(I223="PARTIAL",J223="PARTIAL"),"PARTIAL","WRONG / MISSED"))))))))</x:f>
      </x:c>
      <x:c r="AA223" t="str">
        <x:f>IF(OR(A223="",M223&lt;&gt;"VERIFIED",H223="",K223="",J223&lt;&gt;"FULL"),"",K223-H223)</x:f>
      </x:c>
      <x:c r="AB223" t="str">
        <x:f>IF(OR(A223="",M223&lt;&gt;"VERIFIED",H223="",H223&gt;=L223,J223="FULL",J223="UNASSESSABLE"),"",L223-H223)</x:f>
      </x:c>
      <x:c r="AC223" t="n">
        <x:f>IF(AND(A223&lt;&gt;"",M223="VERIFIED",N223="YES",H223&lt;&gt;"",H223&lt;L223,I223&lt;&gt;"UNASSESSABLE",I223&lt;&gt;"UNREVIEWED",I223&lt;&gt;"NOT_DUE"),1,0)</x:f>
        <x:v>0</x:v>
      </x:c>
      <x:c r="AD223" t="n">
        <x:f>IF(AND(AC223=1,I223="FULL"),1,0)</x:f>
        <x:v>0</x:v>
      </x:c>
      <x:c r="AE223" t="n">
        <x:f>IF(AND(AC223=1,OR(I223="FULL",J223="FULL")),1,0)</x:f>
        <x:v>0</x:v>
      </x:c>
      <x:c r="AF223" s="21"/>
    </x:row>
    <x:row r="224">
      <x:c r="H224" s="21"/>
      <x:c r="K224" s="21"/>
      <x:c r="L224" s="21"/>
      <x:c r="Z224" t="str">
        <x:f>IF(A224="","",IF(M224="EXCLUDED","EXCLUDED",IF(M224&lt;&gt;"VERIFIED","UNREVIEWED",IF(OR(H224="",I224="UNASSESSABLE",J224="UNASSESSABLE"),"UNSCORABLE",IF(H224&gt;=L224,IF(J224="FULL","CORRECT","PENDING"),IF(I224="FULL","CORRECT",IF(J224="FULL","LATE",IF(OR(I224="PARTIAL",J224="PARTIAL"),"PARTIAL","WRONG / MISSED"))))))))</x:f>
      </x:c>
      <x:c r="AA224" t="str">
        <x:f>IF(OR(A224="",M224&lt;&gt;"VERIFIED",H224="",K224="",J224&lt;&gt;"FULL"),"",K224-H224)</x:f>
      </x:c>
      <x:c r="AB224" t="str">
        <x:f>IF(OR(A224="",M224&lt;&gt;"VERIFIED",H224="",H224&gt;=L224,J224="FULL",J224="UNASSESSABLE"),"",L224-H224)</x:f>
      </x:c>
      <x:c r="AC224" t="n">
        <x:f>IF(AND(A224&lt;&gt;"",M224="VERIFIED",N224="YES",H224&lt;&gt;"",H224&lt;L224,I224&lt;&gt;"UNASSESSABLE",I224&lt;&gt;"UNREVIEWED",I224&lt;&gt;"NOT_DUE"),1,0)</x:f>
        <x:v>0</x:v>
      </x:c>
      <x:c r="AD224" t="n">
        <x:f>IF(AND(AC224=1,I224="FULL"),1,0)</x:f>
        <x:v>0</x:v>
      </x:c>
      <x:c r="AE224" t="n">
        <x:f>IF(AND(AC224=1,OR(I224="FULL",J224="FULL")),1,0)</x:f>
        <x:v>0</x:v>
      </x:c>
      <x:c r="AF224" s="21"/>
    </x:row>
    <x:row r="225">
      <x:c r="H225" s="21"/>
      <x:c r="K225" s="21"/>
      <x:c r="L225" s="21"/>
      <x:c r="Z225" t="str">
        <x:f>IF(A225="","",IF(M225="EXCLUDED","EXCLUDED",IF(M225&lt;&gt;"VERIFIED","UNREVIEWED",IF(OR(H225="",I225="UNASSESSABLE",J225="UNASSESSABLE"),"UNSCORABLE",IF(H225&gt;=L225,IF(J225="FULL","CORRECT","PENDING"),IF(I225="FULL","CORRECT",IF(J225="FULL","LATE",IF(OR(I225="PARTIAL",J225="PARTIAL"),"PARTIAL","WRONG / MISSED"))))))))</x:f>
      </x:c>
      <x:c r="AA225" t="str">
        <x:f>IF(OR(A225="",M225&lt;&gt;"VERIFIED",H225="",K225="",J225&lt;&gt;"FULL"),"",K225-H225)</x:f>
      </x:c>
      <x:c r="AB225" t="str">
        <x:f>IF(OR(A225="",M225&lt;&gt;"VERIFIED",H225="",H225&gt;=L225,J225="FULL",J225="UNASSESSABLE"),"",L225-H225)</x:f>
      </x:c>
      <x:c r="AC225" t="n">
        <x:f>IF(AND(A225&lt;&gt;"",M225="VERIFIED",N225="YES",H225&lt;&gt;"",H225&lt;L225,I225&lt;&gt;"UNASSESSABLE",I225&lt;&gt;"UNREVIEWED",I225&lt;&gt;"NOT_DUE"),1,0)</x:f>
        <x:v>0</x:v>
      </x:c>
      <x:c r="AD225" t="n">
        <x:f>IF(AND(AC225=1,I225="FULL"),1,0)</x:f>
        <x:v>0</x:v>
      </x:c>
      <x:c r="AE225" t="n">
        <x:f>IF(AND(AC225=1,OR(I225="FULL",J225="FULL")),1,0)</x:f>
        <x:v>0</x:v>
      </x:c>
      <x:c r="AF225" s="21"/>
    </x:row>
    <x:row r="226">
      <x:c r="H226" s="21"/>
      <x:c r="K226" s="21"/>
      <x:c r="L226" s="21"/>
      <x:c r="Z226" t="str">
        <x:f>IF(A226="","",IF(M226="EXCLUDED","EXCLUDED",IF(M226&lt;&gt;"VERIFIED","UNREVIEWED",IF(OR(H226="",I226="UNASSESSABLE",J226="UNASSESSABLE"),"UNSCORABLE",IF(H226&gt;=L226,IF(J226="FULL","CORRECT","PENDING"),IF(I226="FULL","CORRECT",IF(J226="FULL","LATE",IF(OR(I226="PARTIAL",J226="PARTIAL"),"PARTIAL","WRONG / MISSED"))))))))</x:f>
      </x:c>
      <x:c r="AA226" t="str">
        <x:f>IF(OR(A226="",M226&lt;&gt;"VERIFIED",H226="",K226="",J226&lt;&gt;"FULL"),"",K226-H226)</x:f>
      </x:c>
      <x:c r="AB226" t="str">
        <x:f>IF(OR(A226="",M226&lt;&gt;"VERIFIED",H226="",H226&gt;=L226,J226="FULL",J226="UNASSESSABLE"),"",L226-H226)</x:f>
      </x:c>
      <x:c r="AC226" t="n">
        <x:f>IF(AND(A226&lt;&gt;"",M226="VERIFIED",N226="YES",H226&lt;&gt;"",H226&lt;L226,I226&lt;&gt;"UNASSESSABLE",I226&lt;&gt;"UNREVIEWED",I226&lt;&gt;"NOT_DUE"),1,0)</x:f>
        <x:v>0</x:v>
      </x:c>
      <x:c r="AD226" t="n">
        <x:f>IF(AND(AC226=1,I226="FULL"),1,0)</x:f>
        <x:v>0</x:v>
      </x:c>
      <x:c r="AE226" t="n">
        <x:f>IF(AND(AC226=1,OR(I226="FULL",J226="FULL")),1,0)</x:f>
        <x:v>0</x:v>
      </x:c>
      <x:c r="AF226" s="21"/>
    </x:row>
    <x:row r="227">
      <x:c r="H227" s="21"/>
      <x:c r="K227" s="21"/>
      <x:c r="L227" s="21"/>
      <x:c r="Z227" t="str">
        <x:f>IF(A227="","",IF(M227="EXCLUDED","EXCLUDED",IF(M227&lt;&gt;"VERIFIED","UNREVIEWED",IF(OR(H227="",I227="UNASSESSABLE",J227="UNASSESSABLE"),"UNSCORABLE",IF(H227&gt;=L227,IF(J227="FULL","CORRECT","PENDING"),IF(I227="FULL","CORRECT",IF(J227="FULL","LATE",IF(OR(I227="PARTIAL",J227="PARTIAL"),"PARTIAL","WRONG / MISSED"))))))))</x:f>
      </x:c>
      <x:c r="AA227" t="str">
        <x:f>IF(OR(A227="",M227&lt;&gt;"VERIFIED",H227="",K227="",J227&lt;&gt;"FULL"),"",K227-H227)</x:f>
      </x:c>
      <x:c r="AB227" t="str">
        <x:f>IF(OR(A227="",M227&lt;&gt;"VERIFIED",H227="",H227&gt;=L227,J227="FULL",J227="UNASSESSABLE"),"",L227-H227)</x:f>
      </x:c>
      <x:c r="AC227" t="n">
        <x:f>IF(AND(A227&lt;&gt;"",M227="VERIFIED",N227="YES",H227&lt;&gt;"",H227&lt;L227,I227&lt;&gt;"UNASSESSABLE",I227&lt;&gt;"UNREVIEWED",I227&lt;&gt;"NOT_DUE"),1,0)</x:f>
        <x:v>0</x:v>
      </x:c>
      <x:c r="AD227" t="n">
        <x:f>IF(AND(AC227=1,I227="FULL"),1,0)</x:f>
        <x:v>0</x:v>
      </x:c>
      <x:c r="AE227" t="n">
        <x:f>IF(AND(AC227=1,OR(I227="FULL",J227="FULL")),1,0)</x:f>
        <x:v>0</x:v>
      </x:c>
      <x:c r="AF227" s="21"/>
    </x:row>
    <x:row r="228">
      <x:c r="H228" s="21"/>
      <x:c r="K228" s="21"/>
      <x:c r="L228" s="21"/>
      <x:c r="Z228" t="str">
        <x:f>IF(A228="","",IF(M228="EXCLUDED","EXCLUDED",IF(M228&lt;&gt;"VERIFIED","UNREVIEWED",IF(OR(H228="",I228="UNASSESSABLE",J228="UNASSESSABLE"),"UNSCORABLE",IF(H228&gt;=L228,IF(J228="FULL","CORRECT","PENDING"),IF(I228="FULL","CORRECT",IF(J228="FULL","LATE",IF(OR(I228="PARTIAL",J228="PARTIAL"),"PARTIAL","WRONG / MISSED"))))))))</x:f>
      </x:c>
      <x:c r="AA228" t="str">
        <x:f>IF(OR(A228="",M228&lt;&gt;"VERIFIED",H228="",K228="",J228&lt;&gt;"FULL"),"",K228-H228)</x:f>
      </x:c>
      <x:c r="AB228" t="str">
        <x:f>IF(OR(A228="",M228&lt;&gt;"VERIFIED",H228="",H228&gt;=L228,J228="FULL",J228="UNASSESSABLE"),"",L228-H228)</x:f>
      </x:c>
      <x:c r="AC228" t="n">
        <x:f>IF(AND(A228&lt;&gt;"",M228="VERIFIED",N228="YES",H228&lt;&gt;"",H228&lt;L228,I228&lt;&gt;"UNASSESSABLE",I228&lt;&gt;"UNREVIEWED",I228&lt;&gt;"NOT_DUE"),1,0)</x:f>
        <x:v>0</x:v>
      </x:c>
      <x:c r="AD228" t="n">
        <x:f>IF(AND(AC228=1,I228="FULL"),1,0)</x:f>
        <x:v>0</x:v>
      </x:c>
      <x:c r="AE228" t="n">
        <x:f>IF(AND(AC228=1,OR(I228="FULL",J228="FULL")),1,0)</x:f>
        <x:v>0</x:v>
      </x:c>
      <x:c r="AF228" s="21"/>
    </x:row>
    <x:row r="229">
      <x:c r="H229" s="21"/>
      <x:c r="K229" s="21"/>
      <x:c r="L229" s="21"/>
      <x:c r="Z229" t="str">
        <x:f>IF(A229="","",IF(M229="EXCLUDED","EXCLUDED",IF(M229&lt;&gt;"VERIFIED","UNREVIEWED",IF(OR(H229="",I229="UNASSESSABLE",J229="UNASSESSABLE"),"UNSCORABLE",IF(H229&gt;=L229,IF(J229="FULL","CORRECT","PENDING"),IF(I229="FULL","CORRECT",IF(J229="FULL","LATE",IF(OR(I229="PARTIAL",J229="PARTIAL"),"PARTIAL","WRONG / MISSED"))))))))</x:f>
      </x:c>
      <x:c r="AA229" t="str">
        <x:f>IF(OR(A229="",M229&lt;&gt;"VERIFIED",H229="",K229="",J229&lt;&gt;"FULL"),"",K229-H229)</x:f>
      </x:c>
      <x:c r="AB229" t="str">
        <x:f>IF(OR(A229="",M229&lt;&gt;"VERIFIED",H229="",H229&gt;=L229,J229="FULL",J229="UNASSESSABLE"),"",L229-H229)</x:f>
      </x:c>
      <x:c r="AC229" t="n">
        <x:f>IF(AND(A229&lt;&gt;"",M229="VERIFIED",N229="YES",H229&lt;&gt;"",H229&lt;L229,I229&lt;&gt;"UNASSESSABLE",I229&lt;&gt;"UNREVIEWED",I229&lt;&gt;"NOT_DUE"),1,0)</x:f>
        <x:v>0</x:v>
      </x:c>
      <x:c r="AD229" t="n">
        <x:f>IF(AND(AC229=1,I229="FULL"),1,0)</x:f>
        <x:v>0</x:v>
      </x:c>
      <x:c r="AE229" t="n">
        <x:f>IF(AND(AC229=1,OR(I229="FULL",J229="FULL")),1,0)</x:f>
        <x:v>0</x:v>
      </x:c>
      <x:c r="AF229" s="21"/>
    </x:row>
    <x:row r="230">
      <x:c r="H230" s="21"/>
      <x:c r="K230" s="21"/>
      <x:c r="L230" s="21"/>
      <x:c r="Z230" t="str">
        <x:f>IF(A230="","",IF(M230="EXCLUDED","EXCLUDED",IF(M230&lt;&gt;"VERIFIED","UNREVIEWED",IF(OR(H230="",I230="UNASSESSABLE",J230="UNASSESSABLE"),"UNSCORABLE",IF(H230&gt;=L230,IF(J230="FULL","CORRECT","PENDING"),IF(I230="FULL","CORRECT",IF(J230="FULL","LATE",IF(OR(I230="PARTIAL",J230="PARTIAL"),"PARTIAL","WRONG / MISSED"))))))))</x:f>
      </x:c>
      <x:c r="AA230" t="str">
        <x:f>IF(OR(A230="",M230&lt;&gt;"VERIFIED",H230="",K230="",J230&lt;&gt;"FULL"),"",K230-H230)</x:f>
      </x:c>
      <x:c r="AB230" t="str">
        <x:f>IF(OR(A230="",M230&lt;&gt;"VERIFIED",H230="",H230&gt;=L230,J230="FULL",J230="UNASSESSABLE"),"",L230-H230)</x:f>
      </x:c>
      <x:c r="AC230" t="n">
        <x:f>IF(AND(A230&lt;&gt;"",M230="VERIFIED",N230="YES",H230&lt;&gt;"",H230&lt;L230,I230&lt;&gt;"UNASSESSABLE",I230&lt;&gt;"UNREVIEWED",I230&lt;&gt;"NOT_DUE"),1,0)</x:f>
        <x:v>0</x:v>
      </x:c>
      <x:c r="AD230" t="n">
        <x:f>IF(AND(AC230=1,I230="FULL"),1,0)</x:f>
        <x:v>0</x:v>
      </x:c>
      <x:c r="AE230" t="n">
        <x:f>IF(AND(AC230=1,OR(I230="FULL",J230="FULL")),1,0)</x:f>
        <x:v>0</x:v>
      </x:c>
      <x:c r="AF230" s="21"/>
    </x:row>
    <x:row r="231">
      <x:c r="H231" s="21"/>
      <x:c r="K231" s="21"/>
      <x:c r="L231" s="21"/>
      <x:c r="Z231" t="str">
        <x:f>IF(A231="","",IF(M231="EXCLUDED","EXCLUDED",IF(M231&lt;&gt;"VERIFIED","UNREVIEWED",IF(OR(H231="",I231="UNASSESSABLE",J231="UNASSESSABLE"),"UNSCORABLE",IF(H231&gt;=L231,IF(J231="FULL","CORRECT","PENDING"),IF(I231="FULL","CORRECT",IF(J231="FULL","LATE",IF(OR(I231="PARTIAL",J231="PARTIAL"),"PARTIAL","WRONG / MISSED"))))))))</x:f>
      </x:c>
      <x:c r="AA231" t="str">
        <x:f>IF(OR(A231="",M231&lt;&gt;"VERIFIED",H231="",K231="",J231&lt;&gt;"FULL"),"",K231-H231)</x:f>
      </x:c>
      <x:c r="AB231" t="str">
        <x:f>IF(OR(A231="",M231&lt;&gt;"VERIFIED",H231="",H231&gt;=L231,J231="FULL",J231="UNASSESSABLE"),"",L231-H231)</x:f>
      </x:c>
      <x:c r="AC231" t="n">
        <x:f>IF(AND(A231&lt;&gt;"",M231="VERIFIED",N231="YES",H231&lt;&gt;"",H231&lt;L231,I231&lt;&gt;"UNASSESSABLE",I231&lt;&gt;"UNREVIEWED",I231&lt;&gt;"NOT_DUE"),1,0)</x:f>
        <x:v>0</x:v>
      </x:c>
      <x:c r="AD231" t="n">
        <x:f>IF(AND(AC231=1,I231="FULL"),1,0)</x:f>
        <x:v>0</x:v>
      </x:c>
      <x:c r="AE231" t="n">
        <x:f>IF(AND(AC231=1,OR(I231="FULL",J231="FULL")),1,0)</x:f>
        <x:v>0</x:v>
      </x:c>
      <x:c r="AF231" s="21"/>
    </x:row>
    <x:row r="232">
      <x:c r="H232" s="21"/>
      <x:c r="K232" s="21"/>
      <x:c r="L232" s="21"/>
      <x:c r="Z232" t="str">
        <x:f>IF(A232="","",IF(M232="EXCLUDED","EXCLUDED",IF(M232&lt;&gt;"VERIFIED","UNREVIEWED",IF(OR(H232="",I232="UNASSESSABLE",J232="UNASSESSABLE"),"UNSCORABLE",IF(H232&gt;=L232,IF(J232="FULL","CORRECT","PENDING"),IF(I232="FULL","CORRECT",IF(J232="FULL","LATE",IF(OR(I232="PARTIAL",J232="PARTIAL"),"PARTIAL","WRONG / MISSED"))))))))</x:f>
      </x:c>
      <x:c r="AA232" t="str">
        <x:f>IF(OR(A232="",M232&lt;&gt;"VERIFIED",H232="",K232="",J232&lt;&gt;"FULL"),"",K232-H232)</x:f>
      </x:c>
      <x:c r="AB232" t="str">
        <x:f>IF(OR(A232="",M232&lt;&gt;"VERIFIED",H232="",H232&gt;=L232,J232="FULL",J232="UNASSESSABLE"),"",L232-H232)</x:f>
      </x:c>
      <x:c r="AC232" t="n">
        <x:f>IF(AND(A232&lt;&gt;"",M232="VERIFIED",N232="YES",H232&lt;&gt;"",H232&lt;L232,I232&lt;&gt;"UNASSESSABLE",I232&lt;&gt;"UNREVIEWED",I232&lt;&gt;"NOT_DUE"),1,0)</x:f>
        <x:v>0</x:v>
      </x:c>
      <x:c r="AD232" t="n">
        <x:f>IF(AND(AC232=1,I232="FULL"),1,0)</x:f>
        <x:v>0</x:v>
      </x:c>
      <x:c r="AE232" t="n">
        <x:f>IF(AND(AC232=1,OR(I232="FULL",J232="FULL")),1,0)</x:f>
        <x:v>0</x:v>
      </x:c>
      <x:c r="AF232" s="21"/>
    </x:row>
    <x:row r="233">
      <x:c r="H233" s="21"/>
      <x:c r="K233" s="21"/>
      <x:c r="L233" s="21"/>
      <x:c r="Z233" t="str">
        <x:f>IF(A233="","",IF(M233="EXCLUDED","EXCLUDED",IF(M233&lt;&gt;"VERIFIED","UNREVIEWED",IF(OR(H233="",I233="UNASSESSABLE",J233="UNASSESSABLE"),"UNSCORABLE",IF(H233&gt;=L233,IF(J233="FULL","CORRECT","PENDING"),IF(I233="FULL","CORRECT",IF(J233="FULL","LATE",IF(OR(I233="PARTIAL",J233="PARTIAL"),"PARTIAL","WRONG / MISSED"))))))))</x:f>
      </x:c>
      <x:c r="AA233" t="str">
        <x:f>IF(OR(A233="",M233&lt;&gt;"VERIFIED",H233="",K233="",J233&lt;&gt;"FULL"),"",K233-H233)</x:f>
      </x:c>
      <x:c r="AB233" t="str">
        <x:f>IF(OR(A233="",M233&lt;&gt;"VERIFIED",H233="",H233&gt;=L233,J233="FULL",J233="UNASSESSABLE"),"",L233-H233)</x:f>
      </x:c>
      <x:c r="AC233" t="n">
        <x:f>IF(AND(A233&lt;&gt;"",M233="VERIFIED",N233="YES",H233&lt;&gt;"",H233&lt;L233,I233&lt;&gt;"UNASSESSABLE",I233&lt;&gt;"UNREVIEWED",I233&lt;&gt;"NOT_DUE"),1,0)</x:f>
        <x:v>0</x:v>
      </x:c>
      <x:c r="AD233" t="n">
        <x:f>IF(AND(AC233=1,I233="FULL"),1,0)</x:f>
        <x:v>0</x:v>
      </x:c>
      <x:c r="AE233" t="n">
        <x:f>IF(AND(AC233=1,OR(I233="FULL",J233="FULL")),1,0)</x:f>
        <x:v>0</x:v>
      </x:c>
      <x:c r="AF233" s="21"/>
    </x:row>
    <x:row r="234">
      <x:c r="H234" s="21"/>
      <x:c r="K234" s="21"/>
      <x:c r="L234" s="21"/>
      <x:c r="Z234" t="str">
        <x:f>IF(A234="","",IF(M234="EXCLUDED","EXCLUDED",IF(M234&lt;&gt;"VERIFIED","UNREVIEWED",IF(OR(H234="",I234="UNASSESSABLE",J234="UNASSESSABLE"),"UNSCORABLE",IF(H234&gt;=L234,IF(J234="FULL","CORRECT","PENDING"),IF(I234="FULL","CORRECT",IF(J234="FULL","LATE",IF(OR(I234="PARTIAL",J234="PARTIAL"),"PARTIAL","WRONG / MISSED"))))))))</x:f>
      </x:c>
      <x:c r="AA234" t="str">
        <x:f>IF(OR(A234="",M234&lt;&gt;"VERIFIED",H234="",K234="",J234&lt;&gt;"FULL"),"",K234-H234)</x:f>
      </x:c>
      <x:c r="AB234" t="str">
        <x:f>IF(OR(A234="",M234&lt;&gt;"VERIFIED",H234="",H234&gt;=L234,J234="FULL",J234="UNASSESSABLE"),"",L234-H234)</x:f>
      </x:c>
      <x:c r="AC234" t="n">
        <x:f>IF(AND(A234&lt;&gt;"",M234="VERIFIED",N234="YES",H234&lt;&gt;"",H234&lt;L234,I234&lt;&gt;"UNASSESSABLE",I234&lt;&gt;"UNREVIEWED",I234&lt;&gt;"NOT_DUE"),1,0)</x:f>
        <x:v>0</x:v>
      </x:c>
      <x:c r="AD234" t="n">
        <x:f>IF(AND(AC234=1,I234="FULL"),1,0)</x:f>
        <x:v>0</x:v>
      </x:c>
      <x:c r="AE234" t="n">
        <x:f>IF(AND(AC234=1,OR(I234="FULL",J234="FULL")),1,0)</x:f>
        <x:v>0</x:v>
      </x:c>
      <x:c r="AF234" s="21"/>
    </x:row>
    <x:row r="235">
      <x:c r="H235" s="21"/>
      <x:c r="K235" s="21"/>
      <x:c r="L235" s="21"/>
      <x:c r="Z235" t="str">
        <x:f>IF(A235="","",IF(M235="EXCLUDED","EXCLUDED",IF(M235&lt;&gt;"VERIFIED","UNREVIEWED",IF(OR(H235="",I235="UNASSESSABLE",J235="UNASSESSABLE"),"UNSCORABLE",IF(H235&gt;=L235,IF(J235="FULL","CORRECT","PENDING"),IF(I235="FULL","CORRECT",IF(J235="FULL","LATE",IF(OR(I235="PARTIAL",J235="PARTIAL"),"PARTIAL","WRONG / MISSED"))))))))</x:f>
      </x:c>
      <x:c r="AA235" t="str">
        <x:f>IF(OR(A235="",M235&lt;&gt;"VERIFIED",H235="",K235="",J235&lt;&gt;"FULL"),"",K235-H235)</x:f>
      </x:c>
      <x:c r="AB235" t="str">
        <x:f>IF(OR(A235="",M235&lt;&gt;"VERIFIED",H235="",H235&gt;=L235,J235="FULL",J235="UNASSESSABLE"),"",L235-H235)</x:f>
      </x:c>
      <x:c r="AC235" t="n">
        <x:f>IF(AND(A235&lt;&gt;"",M235="VERIFIED",N235="YES",H235&lt;&gt;"",H235&lt;L235,I235&lt;&gt;"UNASSESSABLE",I235&lt;&gt;"UNREVIEWED",I235&lt;&gt;"NOT_DUE"),1,0)</x:f>
        <x:v>0</x:v>
      </x:c>
      <x:c r="AD235" t="n">
        <x:f>IF(AND(AC235=1,I235="FULL"),1,0)</x:f>
        <x:v>0</x:v>
      </x:c>
      <x:c r="AE235" t="n">
        <x:f>IF(AND(AC235=1,OR(I235="FULL",J235="FULL")),1,0)</x:f>
        <x:v>0</x:v>
      </x:c>
      <x:c r="AF235" s="21"/>
    </x:row>
    <x:row r="236">
      <x:c r="H236" s="21"/>
      <x:c r="K236" s="21"/>
      <x:c r="L236" s="21"/>
      <x:c r="Z236" t="str">
        <x:f>IF(A236="","",IF(M236="EXCLUDED","EXCLUDED",IF(M236&lt;&gt;"VERIFIED","UNREVIEWED",IF(OR(H236="",I236="UNASSESSABLE",J236="UNASSESSABLE"),"UNSCORABLE",IF(H236&gt;=L236,IF(J236="FULL","CORRECT","PENDING"),IF(I236="FULL","CORRECT",IF(J236="FULL","LATE",IF(OR(I236="PARTIAL",J236="PARTIAL"),"PARTIAL","WRONG / MISSED"))))))))</x:f>
      </x:c>
      <x:c r="AA236" t="str">
        <x:f>IF(OR(A236="",M236&lt;&gt;"VERIFIED",H236="",K236="",J236&lt;&gt;"FULL"),"",K236-H236)</x:f>
      </x:c>
      <x:c r="AB236" t="str">
        <x:f>IF(OR(A236="",M236&lt;&gt;"VERIFIED",H236="",H236&gt;=L236,J236="FULL",J236="UNASSESSABLE"),"",L236-H236)</x:f>
      </x:c>
      <x:c r="AC236" t="n">
        <x:f>IF(AND(A236&lt;&gt;"",M236="VERIFIED",N236="YES",H236&lt;&gt;"",H236&lt;L236,I236&lt;&gt;"UNASSESSABLE",I236&lt;&gt;"UNREVIEWED",I236&lt;&gt;"NOT_DUE"),1,0)</x:f>
        <x:v>0</x:v>
      </x:c>
      <x:c r="AD236" t="n">
        <x:f>IF(AND(AC236=1,I236="FULL"),1,0)</x:f>
        <x:v>0</x:v>
      </x:c>
      <x:c r="AE236" t="n">
        <x:f>IF(AND(AC236=1,OR(I236="FULL",J236="FULL")),1,0)</x:f>
        <x:v>0</x:v>
      </x:c>
      <x:c r="AF236" s="21"/>
    </x:row>
    <x:row r="237">
      <x:c r="H237" s="21"/>
      <x:c r="K237" s="21"/>
      <x:c r="L237" s="21"/>
      <x:c r="Z237" t="str">
        <x:f>IF(A237="","",IF(M237="EXCLUDED","EXCLUDED",IF(M237&lt;&gt;"VERIFIED","UNREVIEWED",IF(OR(H237="",I237="UNASSESSABLE",J237="UNASSESSABLE"),"UNSCORABLE",IF(H237&gt;=L237,IF(J237="FULL","CORRECT","PENDING"),IF(I237="FULL","CORRECT",IF(J237="FULL","LATE",IF(OR(I237="PARTIAL",J237="PARTIAL"),"PARTIAL","WRONG / MISSED"))))))))</x:f>
      </x:c>
      <x:c r="AA237" t="str">
        <x:f>IF(OR(A237="",M237&lt;&gt;"VERIFIED",H237="",K237="",J237&lt;&gt;"FULL"),"",K237-H237)</x:f>
      </x:c>
      <x:c r="AB237" t="str">
        <x:f>IF(OR(A237="",M237&lt;&gt;"VERIFIED",H237="",H237&gt;=L237,J237="FULL",J237="UNASSESSABLE"),"",L237-H237)</x:f>
      </x:c>
      <x:c r="AC237" t="n">
        <x:f>IF(AND(A237&lt;&gt;"",M237="VERIFIED",N237="YES",H237&lt;&gt;"",H237&lt;L237,I237&lt;&gt;"UNASSESSABLE",I237&lt;&gt;"UNREVIEWED",I237&lt;&gt;"NOT_DUE"),1,0)</x:f>
        <x:v>0</x:v>
      </x:c>
      <x:c r="AD237" t="n">
        <x:f>IF(AND(AC237=1,I237="FULL"),1,0)</x:f>
        <x:v>0</x:v>
      </x:c>
      <x:c r="AE237" t="n">
        <x:f>IF(AND(AC237=1,OR(I237="FULL",J237="FULL")),1,0)</x:f>
        <x:v>0</x:v>
      </x:c>
      <x:c r="AF237" s="21"/>
    </x:row>
    <x:row r="238">
      <x:c r="H238" s="21"/>
      <x:c r="K238" s="21"/>
      <x:c r="L238" s="21"/>
      <x:c r="Z238" t="str">
        <x:f>IF(A238="","",IF(M238="EXCLUDED","EXCLUDED",IF(M238&lt;&gt;"VERIFIED","UNREVIEWED",IF(OR(H238="",I238="UNASSESSABLE",J238="UNASSESSABLE"),"UNSCORABLE",IF(H238&gt;=L238,IF(J238="FULL","CORRECT","PENDING"),IF(I238="FULL","CORRECT",IF(J238="FULL","LATE",IF(OR(I238="PARTIAL",J238="PARTIAL"),"PARTIAL","WRONG / MISSED"))))))))</x:f>
      </x:c>
      <x:c r="AA238" t="str">
        <x:f>IF(OR(A238="",M238&lt;&gt;"VERIFIED",H238="",K238="",J238&lt;&gt;"FULL"),"",K238-H238)</x:f>
      </x:c>
      <x:c r="AB238" t="str">
        <x:f>IF(OR(A238="",M238&lt;&gt;"VERIFIED",H238="",H238&gt;=L238,J238="FULL",J238="UNASSESSABLE"),"",L238-H238)</x:f>
      </x:c>
      <x:c r="AC238" t="n">
        <x:f>IF(AND(A238&lt;&gt;"",M238="VERIFIED",N238="YES",H238&lt;&gt;"",H238&lt;L238,I238&lt;&gt;"UNASSESSABLE",I238&lt;&gt;"UNREVIEWED",I238&lt;&gt;"NOT_DUE"),1,0)</x:f>
        <x:v>0</x:v>
      </x:c>
      <x:c r="AD238" t="n">
        <x:f>IF(AND(AC238=1,I238="FULL"),1,0)</x:f>
        <x:v>0</x:v>
      </x:c>
      <x:c r="AE238" t="n">
        <x:f>IF(AND(AC238=1,OR(I238="FULL",J238="FULL")),1,0)</x:f>
        <x:v>0</x:v>
      </x:c>
      <x:c r="AF238" s="21"/>
    </x:row>
    <x:row r="239">
      <x:c r="H239" s="21"/>
      <x:c r="K239" s="21"/>
      <x:c r="L239" s="21"/>
      <x:c r="Z239" t="str">
        <x:f>IF(A239="","",IF(M239="EXCLUDED","EXCLUDED",IF(M239&lt;&gt;"VERIFIED","UNREVIEWED",IF(OR(H239="",I239="UNASSESSABLE",J239="UNASSESSABLE"),"UNSCORABLE",IF(H239&gt;=L239,IF(J239="FULL","CORRECT","PENDING"),IF(I239="FULL","CORRECT",IF(J239="FULL","LATE",IF(OR(I239="PARTIAL",J239="PARTIAL"),"PARTIAL","WRONG / MISSED"))))))))</x:f>
      </x:c>
      <x:c r="AA239" t="str">
        <x:f>IF(OR(A239="",M239&lt;&gt;"VERIFIED",H239="",K239="",J239&lt;&gt;"FULL"),"",K239-H239)</x:f>
      </x:c>
      <x:c r="AB239" t="str">
        <x:f>IF(OR(A239="",M239&lt;&gt;"VERIFIED",H239="",H239&gt;=L239,J239="FULL",J239="UNASSESSABLE"),"",L239-H239)</x:f>
      </x:c>
      <x:c r="AC239" t="n">
        <x:f>IF(AND(A239&lt;&gt;"",M239="VERIFIED",N239="YES",H239&lt;&gt;"",H239&lt;L239,I239&lt;&gt;"UNASSESSABLE",I239&lt;&gt;"UNREVIEWED",I239&lt;&gt;"NOT_DUE"),1,0)</x:f>
        <x:v>0</x:v>
      </x:c>
      <x:c r="AD239" t="n">
        <x:f>IF(AND(AC239=1,I239="FULL"),1,0)</x:f>
        <x:v>0</x:v>
      </x:c>
      <x:c r="AE239" t="n">
        <x:f>IF(AND(AC239=1,OR(I239="FULL",J239="FULL")),1,0)</x:f>
        <x:v>0</x:v>
      </x:c>
      <x:c r="AF239" s="21"/>
    </x:row>
    <x:row r="240">
      <x:c r="H240" s="21"/>
      <x:c r="K240" s="21"/>
      <x:c r="L240" s="21"/>
      <x:c r="Z240" t="str">
        <x:f>IF(A240="","",IF(M240="EXCLUDED","EXCLUDED",IF(M240&lt;&gt;"VERIFIED","UNREVIEWED",IF(OR(H240="",I240="UNASSESSABLE",J240="UNASSESSABLE"),"UNSCORABLE",IF(H240&gt;=L240,IF(J240="FULL","CORRECT","PENDING"),IF(I240="FULL","CORRECT",IF(J240="FULL","LATE",IF(OR(I240="PARTIAL",J240="PARTIAL"),"PARTIAL","WRONG / MISSED"))))))))</x:f>
      </x:c>
      <x:c r="AA240" t="str">
        <x:f>IF(OR(A240="",M240&lt;&gt;"VERIFIED",H240="",K240="",J240&lt;&gt;"FULL"),"",K240-H240)</x:f>
      </x:c>
      <x:c r="AB240" t="str">
        <x:f>IF(OR(A240="",M240&lt;&gt;"VERIFIED",H240="",H240&gt;=L240,J240="FULL",J240="UNASSESSABLE"),"",L240-H240)</x:f>
      </x:c>
      <x:c r="AC240" t="n">
        <x:f>IF(AND(A240&lt;&gt;"",M240="VERIFIED",N240="YES",H240&lt;&gt;"",H240&lt;L240,I240&lt;&gt;"UNASSESSABLE",I240&lt;&gt;"UNREVIEWED",I240&lt;&gt;"NOT_DUE"),1,0)</x:f>
        <x:v>0</x:v>
      </x:c>
      <x:c r="AD240" t="n">
        <x:f>IF(AND(AC240=1,I240="FULL"),1,0)</x:f>
        <x:v>0</x:v>
      </x:c>
      <x:c r="AE240" t="n">
        <x:f>IF(AND(AC240=1,OR(I240="FULL",J240="FULL")),1,0)</x:f>
        <x:v>0</x:v>
      </x:c>
      <x:c r="AF240" s="21"/>
    </x:row>
    <x:row r="241">
      <x:c r="H241" s="21"/>
      <x:c r="K241" s="21"/>
      <x:c r="L241" s="21"/>
      <x:c r="Z241" t="str">
        <x:f>IF(A241="","",IF(M241="EXCLUDED","EXCLUDED",IF(M241&lt;&gt;"VERIFIED","UNREVIEWED",IF(OR(H241="",I241="UNASSESSABLE",J241="UNASSESSABLE"),"UNSCORABLE",IF(H241&gt;=L241,IF(J241="FULL","CORRECT","PENDING"),IF(I241="FULL","CORRECT",IF(J241="FULL","LATE",IF(OR(I241="PARTIAL",J241="PARTIAL"),"PARTIAL","WRONG / MISSED"))))))))</x:f>
      </x:c>
      <x:c r="AA241" t="str">
        <x:f>IF(OR(A241="",M241&lt;&gt;"VERIFIED",H241="",K241="",J241&lt;&gt;"FULL"),"",K241-H241)</x:f>
      </x:c>
      <x:c r="AB241" t="str">
        <x:f>IF(OR(A241="",M241&lt;&gt;"VERIFIED",H241="",H241&gt;=L241,J241="FULL",J241="UNASSESSABLE"),"",L241-H241)</x:f>
      </x:c>
      <x:c r="AC241" t="n">
        <x:f>IF(AND(A241&lt;&gt;"",M241="VERIFIED",N241="YES",H241&lt;&gt;"",H241&lt;L241,I241&lt;&gt;"UNASSESSABLE",I241&lt;&gt;"UNREVIEWED",I241&lt;&gt;"NOT_DUE"),1,0)</x:f>
        <x:v>0</x:v>
      </x:c>
      <x:c r="AD241" t="n">
        <x:f>IF(AND(AC241=1,I241="FULL"),1,0)</x:f>
        <x:v>0</x:v>
      </x:c>
      <x:c r="AE241" t="n">
        <x:f>IF(AND(AC241=1,OR(I241="FULL",J241="FULL")),1,0)</x:f>
        <x:v>0</x:v>
      </x:c>
      <x:c r="AF241" s="21"/>
    </x:row>
    <x:row r="242">
      <x:c r="H242" s="21"/>
      <x:c r="K242" s="21"/>
      <x:c r="L242" s="21"/>
      <x:c r="Z242" t="str">
        <x:f>IF(A242="","",IF(M242="EXCLUDED","EXCLUDED",IF(M242&lt;&gt;"VERIFIED","UNREVIEWED",IF(OR(H242="",I242="UNASSESSABLE",J242="UNASSESSABLE"),"UNSCORABLE",IF(H242&gt;=L242,IF(J242="FULL","CORRECT","PENDING"),IF(I242="FULL","CORRECT",IF(J242="FULL","LATE",IF(OR(I242="PARTIAL",J242="PARTIAL"),"PARTIAL","WRONG / MISSED"))))))))</x:f>
      </x:c>
      <x:c r="AA242" t="str">
        <x:f>IF(OR(A242="",M242&lt;&gt;"VERIFIED",H242="",K242="",J242&lt;&gt;"FULL"),"",K242-H242)</x:f>
      </x:c>
      <x:c r="AB242" t="str">
        <x:f>IF(OR(A242="",M242&lt;&gt;"VERIFIED",H242="",H242&gt;=L242,J242="FULL",J242="UNASSESSABLE"),"",L242-H242)</x:f>
      </x:c>
      <x:c r="AC242" t="n">
        <x:f>IF(AND(A242&lt;&gt;"",M242="VERIFIED",N242="YES",H242&lt;&gt;"",H242&lt;L242,I242&lt;&gt;"UNASSESSABLE",I242&lt;&gt;"UNREVIEWED",I242&lt;&gt;"NOT_DUE"),1,0)</x:f>
        <x:v>0</x:v>
      </x:c>
      <x:c r="AD242" t="n">
        <x:f>IF(AND(AC242=1,I242="FULL"),1,0)</x:f>
        <x:v>0</x:v>
      </x:c>
      <x:c r="AE242" t="n">
        <x:f>IF(AND(AC242=1,OR(I242="FULL",J242="FULL")),1,0)</x:f>
        <x:v>0</x:v>
      </x:c>
      <x:c r="AF242" s="21"/>
    </x:row>
    <x:row r="243">
      <x:c r="H243" s="21"/>
      <x:c r="K243" s="21"/>
      <x:c r="L243" s="21"/>
      <x:c r="Z243" t="str">
        <x:f>IF(A243="","",IF(M243="EXCLUDED","EXCLUDED",IF(M243&lt;&gt;"VERIFIED","UNREVIEWED",IF(OR(H243="",I243="UNASSESSABLE",J243="UNASSESSABLE"),"UNSCORABLE",IF(H243&gt;=L243,IF(J243="FULL","CORRECT","PENDING"),IF(I243="FULL","CORRECT",IF(J243="FULL","LATE",IF(OR(I243="PARTIAL",J243="PARTIAL"),"PARTIAL","WRONG / MISSED"))))))))</x:f>
      </x:c>
      <x:c r="AA243" t="str">
        <x:f>IF(OR(A243="",M243&lt;&gt;"VERIFIED",H243="",K243="",J243&lt;&gt;"FULL"),"",K243-H243)</x:f>
      </x:c>
      <x:c r="AB243" t="str">
        <x:f>IF(OR(A243="",M243&lt;&gt;"VERIFIED",H243="",H243&gt;=L243,J243="FULL",J243="UNASSESSABLE"),"",L243-H243)</x:f>
      </x:c>
      <x:c r="AC243" t="n">
        <x:f>IF(AND(A243&lt;&gt;"",M243="VERIFIED",N243="YES",H243&lt;&gt;"",H243&lt;L243,I243&lt;&gt;"UNASSESSABLE",I243&lt;&gt;"UNREVIEWED",I243&lt;&gt;"NOT_DUE"),1,0)</x:f>
        <x:v>0</x:v>
      </x:c>
      <x:c r="AD243" t="n">
        <x:f>IF(AND(AC243=1,I243="FULL"),1,0)</x:f>
        <x:v>0</x:v>
      </x:c>
      <x:c r="AE243" t="n">
        <x:f>IF(AND(AC243=1,OR(I243="FULL",J243="FULL")),1,0)</x:f>
        <x:v>0</x:v>
      </x:c>
      <x:c r="AF243" s="21"/>
    </x:row>
    <x:row r="244">
      <x:c r="H244" s="21"/>
      <x:c r="K244" s="21"/>
      <x:c r="L244" s="21"/>
      <x:c r="Z244" t="str">
        <x:f>IF(A244="","",IF(M244="EXCLUDED","EXCLUDED",IF(M244&lt;&gt;"VERIFIED","UNREVIEWED",IF(OR(H244="",I244="UNASSESSABLE",J244="UNASSESSABLE"),"UNSCORABLE",IF(H244&gt;=L244,IF(J244="FULL","CORRECT","PENDING"),IF(I244="FULL","CORRECT",IF(J244="FULL","LATE",IF(OR(I244="PARTIAL",J244="PARTIAL"),"PARTIAL","WRONG / MISSED"))))))))</x:f>
      </x:c>
      <x:c r="AA244" t="str">
        <x:f>IF(OR(A244="",M244&lt;&gt;"VERIFIED",H244="",K244="",J244&lt;&gt;"FULL"),"",K244-H244)</x:f>
      </x:c>
      <x:c r="AB244" t="str">
        <x:f>IF(OR(A244="",M244&lt;&gt;"VERIFIED",H244="",H244&gt;=L244,J244="FULL",J244="UNASSESSABLE"),"",L244-H244)</x:f>
      </x:c>
      <x:c r="AC244" t="n">
        <x:f>IF(AND(A244&lt;&gt;"",M244="VERIFIED",N244="YES",H244&lt;&gt;"",H244&lt;L244,I244&lt;&gt;"UNASSESSABLE",I244&lt;&gt;"UNREVIEWED",I244&lt;&gt;"NOT_DUE"),1,0)</x:f>
        <x:v>0</x:v>
      </x:c>
      <x:c r="AD244" t="n">
        <x:f>IF(AND(AC244=1,I244="FULL"),1,0)</x:f>
        <x:v>0</x:v>
      </x:c>
      <x:c r="AE244" t="n">
        <x:f>IF(AND(AC244=1,OR(I244="FULL",J244="FULL")),1,0)</x:f>
        <x:v>0</x:v>
      </x:c>
      <x:c r="AF244" s="21"/>
    </x:row>
    <x:row r="245">
      <x:c r="H245" s="21"/>
      <x:c r="K245" s="21"/>
      <x:c r="L245" s="21"/>
      <x:c r="Z245" t="str">
        <x:f>IF(A245="","",IF(M245="EXCLUDED","EXCLUDED",IF(M245&lt;&gt;"VERIFIED","UNREVIEWED",IF(OR(H245="",I245="UNASSESSABLE",J245="UNASSESSABLE"),"UNSCORABLE",IF(H245&gt;=L245,IF(J245="FULL","CORRECT","PENDING"),IF(I245="FULL","CORRECT",IF(J245="FULL","LATE",IF(OR(I245="PARTIAL",J245="PARTIAL"),"PARTIAL","WRONG / MISSED"))))))))</x:f>
      </x:c>
      <x:c r="AA245" t="str">
        <x:f>IF(OR(A245="",M245&lt;&gt;"VERIFIED",H245="",K245="",J245&lt;&gt;"FULL"),"",K245-H245)</x:f>
      </x:c>
      <x:c r="AB245" t="str">
        <x:f>IF(OR(A245="",M245&lt;&gt;"VERIFIED",H245="",H245&gt;=L245,J245="FULL",J245="UNASSESSABLE"),"",L245-H245)</x:f>
      </x:c>
      <x:c r="AC245" t="n">
        <x:f>IF(AND(A245&lt;&gt;"",M245="VERIFIED",N245="YES",H245&lt;&gt;"",H245&lt;L245,I245&lt;&gt;"UNASSESSABLE",I245&lt;&gt;"UNREVIEWED",I245&lt;&gt;"NOT_DUE"),1,0)</x:f>
        <x:v>0</x:v>
      </x:c>
      <x:c r="AD245" t="n">
        <x:f>IF(AND(AC245=1,I245="FULL"),1,0)</x:f>
        <x:v>0</x:v>
      </x:c>
      <x:c r="AE245" t="n">
        <x:f>IF(AND(AC245=1,OR(I245="FULL",J245="FULL")),1,0)</x:f>
        <x:v>0</x:v>
      </x:c>
      <x:c r="AF245" s="21"/>
    </x:row>
    <x:row r="246">
      <x:c r="H246" s="21"/>
      <x:c r="K246" s="21"/>
      <x:c r="L246" s="21"/>
      <x:c r="Z246" t="str">
        <x:f>IF(A246="","",IF(M246="EXCLUDED","EXCLUDED",IF(M246&lt;&gt;"VERIFIED","UNREVIEWED",IF(OR(H246="",I246="UNASSESSABLE",J246="UNASSESSABLE"),"UNSCORABLE",IF(H246&gt;=L246,IF(J246="FULL","CORRECT","PENDING"),IF(I246="FULL","CORRECT",IF(J246="FULL","LATE",IF(OR(I246="PARTIAL",J246="PARTIAL"),"PARTIAL","WRONG / MISSED"))))))))</x:f>
      </x:c>
      <x:c r="AA246" t="str">
        <x:f>IF(OR(A246="",M246&lt;&gt;"VERIFIED",H246="",K246="",J246&lt;&gt;"FULL"),"",K246-H246)</x:f>
      </x:c>
      <x:c r="AB246" t="str">
        <x:f>IF(OR(A246="",M246&lt;&gt;"VERIFIED",H246="",H246&gt;=L246,J246="FULL",J246="UNASSESSABLE"),"",L246-H246)</x:f>
      </x:c>
      <x:c r="AC246" t="n">
        <x:f>IF(AND(A246&lt;&gt;"",M246="VERIFIED",N246="YES",H246&lt;&gt;"",H246&lt;L246,I246&lt;&gt;"UNASSESSABLE",I246&lt;&gt;"UNREVIEWED",I246&lt;&gt;"NOT_DUE"),1,0)</x:f>
        <x:v>0</x:v>
      </x:c>
      <x:c r="AD246" t="n">
        <x:f>IF(AND(AC246=1,I246="FULL"),1,0)</x:f>
        <x:v>0</x:v>
      </x:c>
      <x:c r="AE246" t="n">
        <x:f>IF(AND(AC246=1,OR(I246="FULL",J246="FULL")),1,0)</x:f>
        <x:v>0</x:v>
      </x:c>
      <x:c r="AF246" s="21"/>
    </x:row>
    <x:row r="247">
      <x:c r="H247" s="21"/>
      <x:c r="K247" s="21"/>
      <x:c r="L247" s="21"/>
      <x:c r="Z247" t="str">
        <x:f>IF(A247="","",IF(M247="EXCLUDED","EXCLUDED",IF(M247&lt;&gt;"VERIFIED","UNREVIEWED",IF(OR(H247="",I247="UNASSESSABLE",J247="UNASSESSABLE"),"UNSCORABLE",IF(H247&gt;=L247,IF(J247="FULL","CORRECT","PENDING"),IF(I247="FULL","CORRECT",IF(J247="FULL","LATE",IF(OR(I247="PARTIAL",J247="PARTIAL"),"PARTIAL","WRONG / MISSED"))))))))</x:f>
      </x:c>
      <x:c r="AA247" t="str">
        <x:f>IF(OR(A247="",M247&lt;&gt;"VERIFIED",H247="",K247="",J247&lt;&gt;"FULL"),"",K247-H247)</x:f>
      </x:c>
      <x:c r="AB247" t="str">
        <x:f>IF(OR(A247="",M247&lt;&gt;"VERIFIED",H247="",H247&gt;=L247,J247="FULL",J247="UNASSESSABLE"),"",L247-H247)</x:f>
      </x:c>
      <x:c r="AC247" t="n">
        <x:f>IF(AND(A247&lt;&gt;"",M247="VERIFIED",N247="YES",H247&lt;&gt;"",H247&lt;L247,I247&lt;&gt;"UNASSESSABLE",I247&lt;&gt;"UNREVIEWED",I247&lt;&gt;"NOT_DUE"),1,0)</x:f>
        <x:v>0</x:v>
      </x:c>
      <x:c r="AD247" t="n">
        <x:f>IF(AND(AC247=1,I247="FULL"),1,0)</x:f>
        <x:v>0</x:v>
      </x:c>
      <x:c r="AE247" t="n">
        <x:f>IF(AND(AC247=1,OR(I247="FULL",J247="FULL")),1,0)</x:f>
        <x:v>0</x:v>
      </x:c>
      <x:c r="AF247" s="21"/>
    </x:row>
    <x:row r="248">
      <x:c r="H248" s="21"/>
      <x:c r="K248" s="21"/>
      <x:c r="L248" s="21"/>
      <x:c r="Z248" t="str">
        <x:f>IF(A248="","",IF(M248="EXCLUDED","EXCLUDED",IF(M248&lt;&gt;"VERIFIED","UNREVIEWED",IF(OR(H248="",I248="UNASSESSABLE",J248="UNASSESSABLE"),"UNSCORABLE",IF(H248&gt;=L248,IF(J248="FULL","CORRECT","PENDING"),IF(I248="FULL","CORRECT",IF(J248="FULL","LATE",IF(OR(I248="PARTIAL",J248="PARTIAL"),"PARTIAL","WRONG / MISSED"))))))))</x:f>
      </x:c>
      <x:c r="AA248" t="str">
        <x:f>IF(OR(A248="",M248&lt;&gt;"VERIFIED",H248="",K248="",J248&lt;&gt;"FULL"),"",K248-H248)</x:f>
      </x:c>
      <x:c r="AB248" t="str">
        <x:f>IF(OR(A248="",M248&lt;&gt;"VERIFIED",H248="",H248&gt;=L248,J248="FULL",J248="UNASSESSABLE"),"",L248-H248)</x:f>
      </x:c>
      <x:c r="AC248" t="n">
        <x:f>IF(AND(A248&lt;&gt;"",M248="VERIFIED",N248="YES",H248&lt;&gt;"",H248&lt;L248,I248&lt;&gt;"UNASSESSABLE",I248&lt;&gt;"UNREVIEWED",I248&lt;&gt;"NOT_DUE"),1,0)</x:f>
        <x:v>0</x:v>
      </x:c>
      <x:c r="AD248" t="n">
        <x:f>IF(AND(AC248=1,I248="FULL"),1,0)</x:f>
        <x:v>0</x:v>
      </x:c>
      <x:c r="AE248" t="n">
        <x:f>IF(AND(AC248=1,OR(I248="FULL",J248="FULL")),1,0)</x:f>
        <x:v>0</x:v>
      </x:c>
      <x:c r="AF248" s="21"/>
    </x:row>
    <x:row r="249">
      <x:c r="H249" s="21"/>
      <x:c r="K249" s="21"/>
      <x:c r="L249" s="21"/>
      <x:c r="Z249" t="str">
        <x:f>IF(A249="","",IF(M249="EXCLUDED","EXCLUDED",IF(M249&lt;&gt;"VERIFIED","UNREVIEWED",IF(OR(H249="",I249="UNASSESSABLE",J249="UNASSESSABLE"),"UNSCORABLE",IF(H249&gt;=L249,IF(J249="FULL","CORRECT","PENDING"),IF(I249="FULL","CORRECT",IF(J249="FULL","LATE",IF(OR(I249="PARTIAL",J249="PARTIAL"),"PARTIAL","WRONG / MISSED"))))))))</x:f>
      </x:c>
      <x:c r="AA249" t="str">
        <x:f>IF(OR(A249="",M249&lt;&gt;"VERIFIED",H249="",K249="",J249&lt;&gt;"FULL"),"",K249-H249)</x:f>
      </x:c>
      <x:c r="AB249" t="str">
        <x:f>IF(OR(A249="",M249&lt;&gt;"VERIFIED",H249="",H249&gt;=L249,J249="FULL",J249="UNASSESSABLE"),"",L249-H249)</x:f>
      </x:c>
      <x:c r="AC249" t="n">
        <x:f>IF(AND(A249&lt;&gt;"",M249="VERIFIED",N249="YES",H249&lt;&gt;"",H249&lt;L249,I249&lt;&gt;"UNASSESSABLE",I249&lt;&gt;"UNREVIEWED",I249&lt;&gt;"NOT_DUE"),1,0)</x:f>
        <x:v>0</x:v>
      </x:c>
      <x:c r="AD249" t="n">
        <x:f>IF(AND(AC249=1,I249="FULL"),1,0)</x:f>
        <x:v>0</x:v>
      </x:c>
      <x:c r="AE249" t="n">
        <x:f>IF(AND(AC249=1,OR(I249="FULL",J249="FULL")),1,0)</x:f>
        <x:v>0</x:v>
      </x:c>
      <x:c r="AF249" s="21"/>
    </x:row>
    <x:row r="250">
      <x:c r="H250" s="21"/>
      <x:c r="K250" s="21"/>
      <x:c r="L250" s="21"/>
      <x:c r="Z250" t="str">
        <x:f>IF(A250="","",IF(M250="EXCLUDED","EXCLUDED",IF(M250&lt;&gt;"VERIFIED","UNREVIEWED",IF(OR(H250="",I250="UNASSESSABLE",J250="UNASSESSABLE"),"UNSCORABLE",IF(H250&gt;=L250,IF(J250="FULL","CORRECT","PENDING"),IF(I250="FULL","CORRECT",IF(J250="FULL","LATE",IF(OR(I250="PARTIAL",J250="PARTIAL"),"PARTIAL","WRONG / MISSED"))))))))</x:f>
      </x:c>
      <x:c r="AA250" t="str">
        <x:f>IF(OR(A250="",M250&lt;&gt;"VERIFIED",H250="",K250="",J250&lt;&gt;"FULL"),"",K250-H250)</x:f>
      </x:c>
      <x:c r="AB250" t="str">
        <x:f>IF(OR(A250="",M250&lt;&gt;"VERIFIED",H250="",H250&gt;=L250,J250="FULL",J250="UNASSESSABLE"),"",L250-H250)</x:f>
      </x:c>
      <x:c r="AC250" t="n">
        <x:f>IF(AND(A250&lt;&gt;"",M250="VERIFIED",N250="YES",H250&lt;&gt;"",H250&lt;L250,I250&lt;&gt;"UNASSESSABLE",I250&lt;&gt;"UNREVIEWED",I250&lt;&gt;"NOT_DUE"),1,0)</x:f>
        <x:v>0</x:v>
      </x:c>
      <x:c r="AD250" t="n">
        <x:f>IF(AND(AC250=1,I250="FULL"),1,0)</x:f>
        <x:v>0</x:v>
      </x:c>
      <x:c r="AE250" t="n">
        <x:f>IF(AND(AC250=1,OR(I250="FULL",J250="FULL")),1,0)</x:f>
        <x:v>0</x:v>
      </x:c>
      <x:c r="AF250" s="21"/>
    </x:row>
    <x:row r="251">
      <x:c r="H251" s="21"/>
      <x:c r="K251" s="21"/>
      <x:c r="L251" s="21"/>
      <x:c r="Z251" t="str">
        <x:f>IF(A251="","",IF(M251="EXCLUDED","EXCLUDED",IF(M251&lt;&gt;"VERIFIED","UNREVIEWED",IF(OR(H251="",I251="UNASSESSABLE",J251="UNASSESSABLE"),"UNSCORABLE",IF(H251&gt;=L251,IF(J251="FULL","CORRECT","PENDING"),IF(I251="FULL","CORRECT",IF(J251="FULL","LATE",IF(OR(I251="PARTIAL",J251="PARTIAL"),"PARTIAL","WRONG / MISSED"))))))))</x:f>
      </x:c>
      <x:c r="AA251" t="str">
        <x:f>IF(OR(A251="",M251&lt;&gt;"VERIFIED",H251="",K251="",J251&lt;&gt;"FULL"),"",K251-H251)</x:f>
      </x:c>
      <x:c r="AB251" t="str">
        <x:f>IF(OR(A251="",M251&lt;&gt;"VERIFIED",H251="",H251&gt;=L251,J251="FULL",J251="UNASSESSABLE"),"",L251-H251)</x:f>
      </x:c>
      <x:c r="AC251" t="n">
        <x:f>IF(AND(A251&lt;&gt;"",M251="VERIFIED",N251="YES",H251&lt;&gt;"",H251&lt;L251,I251&lt;&gt;"UNASSESSABLE",I251&lt;&gt;"UNREVIEWED",I251&lt;&gt;"NOT_DUE"),1,0)</x:f>
        <x:v>0</x:v>
      </x:c>
      <x:c r="AD251" t="n">
        <x:f>IF(AND(AC251=1,I251="FULL"),1,0)</x:f>
        <x:v>0</x:v>
      </x:c>
      <x:c r="AE251" t="n">
        <x:f>IF(AND(AC251=1,OR(I251="FULL",J251="FULL")),1,0)</x:f>
        <x:v>0</x:v>
      </x:c>
      <x:c r="AF251" s="21"/>
    </x:row>
    <x:row r="252">
      <x:c r="H252" s="21"/>
      <x:c r="K252" s="21"/>
      <x:c r="L252" s="21"/>
      <x:c r="Z252" t="str">
        <x:f>IF(A252="","",IF(M252="EXCLUDED","EXCLUDED",IF(M252&lt;&gt;"VERIFIED","UNREVIEWED",IF(OR(H252="",I252="UNASSESSABLE",J252="UNASSESSABLE"),"UNSCORABLE",IF(H252&gt;=L252,IF(J252="FULL","CORRECT","PENDING"),IF(I252="FULL","CORRECT",IF(J252="FULL","LATE",IF(OR(I252="PARTIAL",J252="PARTIAL"),"PARTIAL","WRONG / MISSED"))))))))</x:f>
      </x:c>
      <x:c r="AA252" t="str">
        <x:f>IF(OR(A252="",M252&lt;&gt;"VERIFIED",H252="",K252="",J252&lt;&gt;"FULL"),"",K252-H252)</x:f>
      </x:c>
      <x:c r="AB252" t="str">
        <x:f>IF(OR(A252="",M252&lt;&gt;"VERIFIED",H252="",H252&gt;=L252,J252="FULL",J252="UNASSESSABLE"),"",L252-H252)</x:f>
      </x:c>
      <x:c r="AC252" t="n">
        <x:f>IF(AND(A252&lt;&gt;"",M252="VERIFIED",N252="YES",H252&lt;&gt;"",H252&lt;L252,I252&lt;&gt;"UNASSESSABLE",I252&lt;&gt;"UNREVIEWED",I252&lt;&gt;"NOT_DUE"),1,0)</x:f>
        <x:v>0</x:v>
      </x:c>
      <x:c r="AD252" t="n">
        <x:f>IF(AND(AC252=1,I252="FULL"),1,0)</x:f>
        <x:v>0</x:v>
      </x:c>
      <x:c r="AE252" t="n">
        <x:f>IF(AND(AC252=1,OR(I252="FULL",J252="FULL")),1,0)</x:f>
        <x:v>0</x:v>
      </x:c>
      <x:c r="AF252" s="21"/>
    </x:row>
    <x:row r="253">
      <x:c r="H253" s="21"/>
      <x:c r="K253" s="21"/>
      <x:c r="L253" s="21"/>
      <x:c r="Z253" t="str">
        <x:f>IF(A253="","",IF(M253="EXCLUDED","EXCLUDED",IF(M253&lt;&gt;"VERIFIED","UNREVIEWED",IF(OR(H253="",I253="UNASSESSABLE",J253="UNASSESSABLE"),"UNSCORABLE",IF(H253&gt;=L253,IF(J253="FULL","CORRECT","PENDING"),IF(I253="FULL","CORRECT",IF(J253="FULL","LATE",IF(OR(I253="PARTIAL",J253="PARTIAL"),"PARTIAL","WRONG / MISSED"))))))))</x:f>
      </x:c>
      <x:c r="AA253" t="str">
        <x:f>IF(OR(A253="",M253&lt;&gt;"VERIFIED",H253="",K253="",J253&lt;&gt;"FULL"),"",K253-H253)</x:f>
      </x:c>
      <x:c r="AB253" t="str">
        <x:f>IF(OR(A253="",M253&lt;&gt;"VERIFIED",H253="",H253&gt;=L253,J253="FULL",J253="UNASSESSABLE"),"",L253-H253)</x:f>
      </x:c>
      <x:c r="AC253" t="n">
        <x:f>IF(AND(A253&lt;&gt;"",M253="VERIFIED",N253="YES",H253&lt;&gt;"",H253&lt;L253,I253&lt;&gt;"UNASSESSABLE",I253&lt;&gt;"UNREVIEWED",I253&lt;&gt;"NOT_DUE"),1,0)</x:f>
        <x:v>0</x:v>
      </x:c>
      <x:c r="AD253" t="n">
        <x:f>IF(AND(AC253=1,I253="FULL"),1,0)</x:f>
        <x:v>0</x:v>
      </x:c>
      <x:c r="AE253" t="n">
        <x:f>IF(AND(AC253=1,OR(I253="FULL",J253="FULL")),1,0)</x:f>
        <x:v>0</x:v>
      </x:c>
      <x:c r="AF253" s="21"/>
    </x:row>
    <x:row r="254">
      <x:c r="H254" s="21"/>
      <x:c r="K254" s="21"/>
      <x:c r="L254" s="21"/>
      <x:c r="Z254" t="str">
        <x:f>IF(A254="","",IF(M254="EXCLUDED","EXCLUDED",IF(M254&lt;&gt;"VERIFIED","UNREVIEWED",IF(OR(H254="",I254="UNASSESSABLE",J254="UNASSESSABLE"),"UNSCORABLE",IF(H254&gt;=L254,IF(J254="FULL","CORRECT","PENDING"),IF(I254="FULL","CORRECT",IF(J254="FULL","LATE",IF(OR(I254="PARTIAL",J254="PARTIAL"),"PARTIAL","WRONG / MISSED"))))))))</x:f>
      </x:c>
      <x:c r="AA254" t="str">
        <x:f>IF(OR(A254="",M254&lt;&gt;"VERIFIED",H254="",K254="",J254&lt;&gt;"FULL"),"",K254-H254)</x:f>
      </x:c>
      <x:c r="AB254" t="str">
        <x:f>IF(OR(A254="",M254&lt;&gt;"VERIFIED",H254="",H254&gt;=L254,J254="FULL",J254="UNASSESSABLE"),"",L254-H254)</x:f>
      </x:c>
      <x:c r="AC254" t="n">
        <x:f>IF(AND(A254&lt;&gt;"",M254="VERIFIED",N254="YES",H254&lt;&gt;"",H254&lt;L254,I254&lt;&gt;"UNASSESSABLE",I254&lt;&gt;"UNREVIEWED",I254&lt;&gt;"NOT_DUE"),1,0)</x:f>
        <x:v>0</x:v>
      </x:c>
      <x:c r="AD254" t="n">
        <x:f>IF(AND(AC254=1,I254="FULL"),1,0)</x:f>
        <x:v>0</x:v>
      </x:c>
      <x:c r="AE254" t="n">
        <x:f>IF(AND(AC254=1,OR(I254="FULL",J254="FULL")),1,0)</x:f>
        <x:v>0</x:v>
      </x:c>
      <x:c r="AF254" s="21"/>
    </x:row>
    <x:row r="255">
      <x:c r="H255" s="21"/>
      <x:c r="K255" s="21"/>
      <x:c r="L255" s="21"/>
      <x:c r="Z255" t="str">
        <x:f>IF(A255="","",IF(M255="EXCLUDED","EXCLUDED",IF(M255&lt;&gt;"VERIFIED","UNREVIEWED",IF(OR(H255="",I255="UNASSESSABLE",J255="UNASSESSABLE"),"UNSCORABLE",IF(H255&gt;=L255,IF(J255="FULL","CORRECT","PENDING"),IF(I255="FULL","CORRECT",IF(J255="FULL","LATE",IF(OR(I255="PARTIAL",J255="PARTIAL"),"PARTIAL","WRONG / MISSED"))))))))</x:f>
      </x:c>
      <x:c r="AA255" t="str">
        <x:f>IF(OR(A255="",M255&lt;&gt;"VERIFIED",H255="",K255="",J255&lt;&gt;"FULL"),"",K255-H255)</x:f>
      </x:c>
      <x:c r="AB255" t="str">
        <x:f>IF(OR(A255="",M255&lt;&gt;"VERIFIED",H255="",H255&gt;=L255,J255="FULL",J255="UNASSESSABLE"),"",L255-H255)</x:f>
      </x:c>
      <x:c r="AC255" t="n">
        <x:f>IF(AND(A255&lt;&gt;"",M255="VERIFIED",N255="YES",H255&lt;&gt;"",H255&lt;L255,I255&lt;&gt;"UNASSESSABLE",I255&lt;&gt;"UNREVIEWED",I255&lt;&gt;"NOT_DUE"),1,0)</x:f>
        <x:v>0</x:v>
      </x:c>
      <x:c r="AD255" t="n">
        <x:f>IF(AND(AC255=1,I255="FULL"),1,0)</x:f>
        <x:v>0</x:v>
      </x:c>
      <x:c r="AE255" t="n">
        <x:f>IF(AND(AC255=1,OR(I255="FULL",J255="FULL")),1,0)</x:f>
        <x:v>0</x:v>
      </x:c>
      <x:c r="AF255" s="21"/>
    </x:row>
    <x:row r="256">
      <x:c r="H256" s="21"/>
      <x:c r="K256" s="21"/>
      <x:c r="L256" s="21"/>
      <x:c r="Z256" t="str">
        <x:f>IF(A256="","",IF(M256="EXCLUDED","EXCLUDED",IF(M256&lt;&gt;"VERIFIED","UNREVIEWED",IF(OR(H256="",I256="UNASSESSABLE",J256="UNASSESSABLE"),"UNSCORABLE",IF(H256&gt;=L256,IF(J256="FULL","CORRECT","PENDING"),IF(I256="FULL","CORRECT",IF(J256="FULL","LATE",IF(OR(I256="PARTIAL",J256="PARTIAL"),"PARTIAL","WRONG / MISSED"))))))))</x:f>
      </x:c>
      <x:c r="AA256" t="str">
        <x:f>IF(OR(A256="",M256&lt;&gt;"VERIFIED",H256="",K256="",J256&lt;&gt;"FULL"),"",K256-H256)</x:f>
      </x:c>
      <x:c r="AB256" t="str">
        <x:f>IF(OR(A256="",M256&lt;&gt;"VERIFIED",H256="",H256&gt;=L256,J256="FULL",J256="UNASSESSABLE"),"",L256-H256)</x:f>
      </x:c>
      <x:c r="AC256" t="n">
        <x:f>IF(AND(A256&lt;&gt;"",M256="VERIFIED",N256="YES",H256&lt;&gt;"",H256&lt;L256,I256&lt;&gt;"UNASSESSABLE",I256&lt;&gt;"UNREVIEWED",I256&lt;&gt;"NOT_DUE"),1,0)</x:f>
        <x:v>0</x:v>
      </x:c>
      <x:c r="AD256" t="n">
        <x:f>IF(AND(AC256=1,I256="FULL"),1,0)</x:f>
        <x:v>0</x:v>
      </x:c>
      <x:c r="AE256" t="n">
        <x:f>IF(AND(AC256=1,OR(I256="FULL",J256="FULL")),1,0)</x:f>
        <x:v>0</x:v>
      </x:c>
      <x:c r="AF256" s="21"/>
    </x:row>
    <x:row r="257">
      <x:c r="H257" s="21"/>
      <x:c r="K257" s="21"/>
      <x:c r="L257" s="21"/>
      <x:c r="Z257" t="str">
        <x:f>IF(A257="","",IF(M257="EXCLUDED","EXCLUDED",IF(M257&lt;&gt;"VERIFIED","UNREVIEWED",IF(OR(H257="",I257="UNASSESSABLE",J257="UNASSESSABLE"),"UNSCORABLE",IF(H257&gt;=L257,IF(J257="FULL","CORRECT","PENDING"),IF(I257="FULL","CORRECT",IF(J257="FULL","LATE",IF(OR(I257="PARTIAL",J257="PARTIAL"),"PARTIAL","WRONG / MISSED"))))))))</x:f>
      </x:c>
      <x:c r="AA257" t="str">
        <x:f>IF(OR(A257="",M257&lt;&gt;"VERIFIED",H257="",K257="",J257&lt;&gt;"FULL"),"",K257-H257)</x:f>
      </x:c>
      <x:c r="AB257" t="str">
        <x:f>IF(OR(A257="",M257&lt;&gt;"VERIFIED",H257="",H257&gt;=L257,J257="FULL",J257="UNASSESSABLE"),"",L257-H257)</x:f>
      </x:c>
      <x:c r="AC257" t="n">
        <x:f>IF(AND(A257&lt;&gt;"",M257="VERIFIED",N257="YES",H257&lt;&gt;"",H257&lt;L257,I257&lt;&gt;"UNASSESSABLE",I257&lt;&gt;"UNREVIEWED",I257&lt;&gt;"NOT_DUE"),1,0)</x:f>
        <x:v>0</x:v>
      </x:c>
      <x:c r="AD257" t="n">
        <x:f>IF(AND(AC257=1,I257="FULL"),1,0)</x:f>
        <x:v>0</x:v>
      </x:c>
      <x:c r="AE257" t="n">
        <x:f>IF(AND(AC257=1,OR(I257="FULL",J257="FULL")),1,0)</x:f>
        <x:v>0</x:v>
      </x:c>
      <x:c r="AF257" s="21"/>
    </x:row>
    <x:row r="258">
      <x:c r="H258" s="21"/>
      <x:c r="K258" s="21"/>
      <x:c r="L258" s="21"/>
      <x:c r="Z258" t="str">
        <x:f>IF(A258="","",IF(M258="EXCLUDED","EXCLUDED",IF(M258&lt;&gt;"VERIFIED","UNREVIEWED",IF(OR(H258="",I258="UNASSESSABLE",J258="UNASSESSABLE"),"UNSCORABLE",IF(H258&gt;=L258,IF(J258="FULL","CORRECT","PENDING"),IF(I258="FULL","CORRECT",IF(J258="FULL","LATE",IF(OR(I258="PARTIAL",J258="PARTIAL"),"PARTIAL","WRONG / MISSED"))))))))</x:f>
      </x:c>
      <x:c r="AA258" t="str">
        <x:f>IF(OR(A258="",M258&lt;&gt;"VERIFIED",H258="",K258="",J258&lt;&gt;"FULL"),"",K258-H258)</x:f>
      </x:c>
      <x:c r="AB258" t="str">
        <x:f>IF(OR(A258="",M258&lt;&gt;"VERIFIED",H258="",H258&gt;=L258,J258="FULL",J258="UNASSESSABLE"),"",L258-H258)</x:f>
      </x:c>
      <x:c r="AC258" t="n">
        <x:f>IF(AND(A258&lt;&gt;"",M258="VERIFIED",N258="YES",H258&lt;&gt;"",H258&lt;L258,I258&lt;&gt;"UNASSESSABLE",I258&lt;&gt;"UNREVIEWED",I258&lt;&gt;"NOT_DUE"),1,0)</x:f>
        <x:v>0</x:v>
      </x:c>
      <x:c r="AD258" t="n">
        <x:f>IF(AND(AC258=1,I258="FULL"),1,0)</x:f>
        <x:v>0</x:v>
      </x:c>
      <x:c r="AE258" t="n">
        <x:f>IF(AND(AC258=1,OR(I258="FULL",J258="FULL")),1,0)</x:f>
        <x:v>0</x:v>
      </x:c>
      <x:c r="AF258" s="21"/>
    </x:row>
    <x:row r="259">
      <x:c r="H259" s="21"/>
      <x:c r="K259" s="21"/>
      <x:c r="L259" s="21"/>
      <x:c r="Z259" t="str">
        <x:f>IF(A259="","",IF(M259="EXCLUDED","EXCLUDED",IF(M259&lt;&gt;"VERIFIED","UNREVIEWED",IF(OR(H259="",I259="UNASSESSABLE",J259="UNASSESSABLE"),"UNSCORABLE",IF(H259&gt;=L259,IF(J259="FULL","CORRECT","PENDING"),IF(I259="FULL","CORRECT",IF(J259="FULL","LATE",IF(OR(I259="PARTIAL",J259="PARTIAL"),"PARTIAL","WRONG / MISSED"))))))))</x:f>
      </x:c>
      <x:c r="AA259" t="str">
        <x:f>IF(OR(A259="",M259&lt;&gt;"VERIFIED",H259="",K259="",J259&lt;&gt;"FULL"),"",K259-H259)</x:f>
      </x:c>
      <x:c r="AB259" t="str">
        <x:f>IF(OR(A259="",M259&lt;&gt;"VERIFIED",H259="",H259&gt;=L259,J259="FULL",J259="UNASSESSABLE"),"",L259-H259)</x:f>
      </x:c>
      <x:c r="AC259" t="n">
        <x:f>IF(AND(A259&lt;&gt;"",M259="VERIFIED",N259="YES",H259&lt;&gt;"",H259&lt;L259,I259&lt;&gt;"UNASSESSABLE",I259&lt;&gt;"UNREVIEWED",I259&lt;&gt;"NOT_DUE"),1,0)</x:f>
        <x:v>0</x:v>
      </x:c>
      <x:c r="AD259" t="n">
        <x:f>IF(AND(AC259=1,I259="FULL"),1,0)</x:f>
        <x:v>0</x:v>
      </x:c>
      <x:c r="AE259" t="n">
        <x:f>IF(AND(AC259=1,OR(I259="FULL",J259="FULL")),1,0)</x:f>
        <x:v>0</x:v>
      </x:c>
      <x:c r="AF259" s="21"/>
    </x:row>
    <x:row r="260">
      <x:c r="H260" s="21"/>
      <x:c r="K260" s="21"/>
      <x:c r="L260" s="21"/>
      <x:c r="Z260" t="str">
        <x:f>IF(A260="","",IF(M260="EXCLUDED","EXCLUDED",IF(M260&lt;&gt;"VERIFIED","UNREVIEWED",IF(OR(H260="",I260="UNASSESSABLE",J260="UNASSESSABLE"),"UNSCORABLE",IF(H260&gt;=L260,IF(J260="FULL","CORRECT","PENDING"),IF(I260="FULL","CORRECT",IF(J260="FULL","LATE",IF(OR(I260="PARTIAL",J260="PARTIAL"),"PARTIAL","WRONG / MISSED"))))))))</x:f>
      </x:c>
      <x:c r="AA260" t="str">
        <x:f>IF(OR(A260="",M260&lt;&gt;"VERIFIED",H260="",K260="",J260&lt;&gt;"FULL"),"",K260-H260)</x:f>
      </x:c>
      <x:c r="AB260" t="str">
        <x:f>IF(OR(A260="",M260&lt;&gt;"VERIFIED",H260="",H260&gt;=L260,J260="FULL",J260="UNASSESSABLE"),"",L260-H260)</x:f>
      </x:c>
      <x:c r="AC260" t="n">
        <x:f>IF(AND(A260&lt;&gt;"",M260="VERIFIED",N260="YES",H260&lt;&gt;"",H260&lt;L260,I260&lt;&gt;"UNASSESSABLE",I260&lt;&gt;"UNREVIEWED",I260&lt;&gt;"NOT_DUE"),1,0)</x:f>
        <x:v>0</x:v>
      </x:c>
      <x:c r="AD260" t="n">
        <x:f>IF(AND(AC260=1,I260="FULL"),1,0)</x:f>
        <x:v>0</x:v>
      </x:c>
      <x:c r="AE260" t="n">
        <x:f>IF(AND(AC260=1,OR(I260="FULL",J260="FULL")),1,0)</x:f>
        <x:v>0</x:v>
      </x:c>
      <x:c r="AF260" s="21"/>
    </x:row>
    <x:row r="261">
      <x:c r="H261" s="21"/>
      <x:c r="K261" s="21"/>
      <x:c r="L261" s="21"/>
      <x:c r="Z261" t="str">
        <x:f>IF(A261="","",IF(M261="EXCLUDED","EXCLUDED",IF(M261&lt;&gt;"VERIFIED","UNREVIEWED",IF(OR(H261="",I261="UNASSESSABLE",J261="UNASSESSABLE"),"UNSCORABLE",IF(H261&gt;=L261,IF(J261="FULL","CORRECT","PENDING"),IF(I261="FULL","CORRECT",IF(J261="FULL","LATE",IF(OR(I261="PARTIAL",J261="PARTIAL"),"PARTIAL","WRONG / MISSED"))))))))</x:f>
      </x:c>
      <x:c r="AA261" t="str">
        <x:f>IF(OR(A261="",M261&lt;&gt;"VERIFIED",H261="",K261="",J261&lt;&gt;"FULL"),"",K261-H261)</x:f>
      </x:c>
      <x:c r="AB261" t="str">
        <x:f>IF(OR(A261="",M261&lt;&gt;"VERIFIED",H261="",H261&gt;=L261,J261="FULL",J261="UNASSESSABLE"),"",L261-H261)</x:f>
      </x:c>
      <x:c r="AC261" t="n">
        <x:f>IF(AND(A261&lt;&gt;"",M261="VERIFIED",N261="YES",H261&lt;&gt;"",H261&lt;L261,I261&lt;&gt;"UNASSESSABLE",I261&lt;&gt;"UNREVIEWED",I261&lt;&gt;"NOT_DUE"),1,0)</x:f>
        <x:v>0</x:v>
      </x:c>
      <x:c r="AD261" t="n">
        <x:f>IF(AND(AC261=1,I261="FULL"),1,0)</x:f>
        <x:v>0</x:v>
      </x:c>
      <x:c r="AE261" t="n">
        <x:f>IF(AND(AC261=1,OR(I261="FULL",J261="FULL")),1,0)</x:f>
        <x:v>0</x:v>
      </x:c>
      <x:c r="AF261" s="21"/>
    </x:row>
    <x:row r="262">
      <x:c r="H262" s="21"/>
      <x:c r="K262" s="21"/>
      <x:c r="L262" s="21"/>
      <x:c r="Z262" t="str">
        <x:f>IF(A262="","",IF(M262="EXCLUDED","EXCLUDED",IF(M262&lt;&gt;"VERIFIED","UNREVIEWED",IF(OR(H262="",I262="UNASSESSABLE",J262="UNASSESSABLE"),"UNSCORABLE",IF(H262&gt;=L262,IF(J262="FULL","CORRECT","PENDING"),IF(I262="FULL","CORRECT",IF(J262="FULL","LATE",IF(OR(I262="PARTIAL",J262="PARTIAL"),"PARTIAL","WRONG / MISSED"))))))))</x:f>
      </x:c>
      <x:c r="AA262" t="str">
        <x:f>IF(OR(A262="",M262&lt;&gt;"VERIFIED",H262="",K262="",J262&lt;&gt;"FULL"),"",K262-H262)</x:f>
      </x:c>
      <x:c r="AB262" t="str">
        <x:f>IF(OR(A262="",M262&lt;&gt;"VERIFIED",H262="",H262&gt;=L262,J262="FULL",J262="UNASSESSABLE"),"",L262-H262)</x:f>
      </x:c>
      <x:c r="AC262" t="n">
        <x:f>IF(AND(A262&lt;&gt;"",M262="VERIFIED",N262="YES",H262&lt;&gt;"",H262&lt;L262,I262&lt;&gt;"UNASSESSABLE",I262&lt;&gt;"UNREVIEWED",I262&lt;&gt;"NOT_DUE"),1,0)</x:f>
        <x:v>0</x:v>
      </x:c>
      <x:c r="AD262" t="n">
        <x:f>IF(AND(AC262=1,I262="FULL"),1,0)</x:f>
        <x:v>0</x:v>
      </x:c>
      <x:c r="AE262" t="n">
        <x:f>IF(AND(AC262=1,OR(I262="FULL",J262="FULL")),1,0)</x:f>
        <x:v>0</x:v>
      </x:c>
      <x:c r="AF262" s="21"/>
    </x:row>
    <x:row r="263">
      <x:c r="H263" s="21"/>
      <x:c r="K263" s="21"/>
      <x:c r="L263" s="21"/>
      <x:c r="Z263" t="str">
        <x:f>IF(A263="","",IF(M263="EXCLUDED","EXCLUDED",IF(M263&lt;&gt;"VERIFIED","UNREVIEWED",IF(OR(H263="",I263="UNASSESSABLE",J263="UNASSESSABLE"),"UNSCORABLE",IF(H263&gt;=L263,IF(J263="FULL","CORRECT","PENDING"),IF(I263="FULL","CORRECT",IF(J263="FULL","LATE",IF(OR(I263="PARTIAL",J263="PARTIAL"),"PARTIAL","WRONG / MISSED"))))))))</x:f>
      </x:c>
      <x:c r="AA263" t="str">
        <x:f>IF(OR(A263="",M263&lt;&gt;"VERIFIED",H263="",K263="",J263&lt;&gt;"FULL"),"",K263-H263)</x:f>
      </x:c>
      <x:c r="AB263" t="str">
        <x:f>IF(OR(A263="",M263&lt;&gt;"VERIFIED",H263="",H263&gt;=L263,J263="FULL",J263="UNASSESSABLE"),"",L263-H263)</x:f>
      </x:c>
      <x:c r="AC263" t="n">
        <x:f>IF(AND(A263&lt;&gt;"",M263="VERIFIED",N263="YES",H263&lt;&gt;"",H263&lt;L263,I263&lt;&gt;"UNASSESSABLE",I263&lt;&gt;"UNREVIEWED",I263&lt;&gt;"NOT_DUE"),1,0)</x:f>
        <x:v>0</x:v>
      </x:c>
      <x:c r="AD263" t="n">
        <x:f>IF(AND(AC263=1,I263="FULL"),1,0)</x:f>
        <x:v>0</x:v>
      </x:c>
      <x:c r="AE263" t="n">
        <x:f>IF(AND(AC263=1,OR(I263="FULL",J263="FULL")),1,0)</x:f>
        <x:v>0</x:v>
      </x:c>
      <x:c r="AF263" s="21"/>
    </x:row>
    <x:row r="264">
      <x:c r="H264" s="21"/>
      <x:c r="K264" s="21"/>
      <x:c r="L264" s="21"/>
      <x:c r="Z264" t="str">
        <x:f>IF(A264="","",IF(M264="EXCLUDED","EXCLUDED",IF(M264&lt;&gt;"VERIFIED","UNREVIEWED",IF(OR(H264="",I264="UNASSESSABLE",J264="UNASSESSABLE"),"UNSCORABLE",IF(H264&gt;=L264,IF(J264="FULL","CORRECT","PENDING"),IF(I264="FULL","CORRECT",IF(J264="FULL","LATE",IF(OR(I264="PARTIAL",J264="PARTIAL"),"PARTIAL","WRONG / MISSED"))))))))</x:f>
      </x:c>
      <x:c r="AA264" t="str">
        <x:f>IF(OR(A264="",M264&lt;&gt;"VERIFIED",H264="",K264="",J264&lt;&gt;"FULL"),"",K264-H264)</x:f>
      </x:c>
      <x:c r="AB264" t="str">
        <x:f>IF(OR(A264="",M264&lt;&gt;"VERIFIED",H264="",H264&gt;=L264,J264="FULL",J264="UNASSESSABLE"),"",L264-H264)</x:f>
      </x:c>
      <x:c r="AC264" t="n">
        <x:f>IF(AND(A264&lt;&gt;"",M264="VERIFIED",N264="YES",H264&lt;&gt;"",H264&lt;L264,I264&lt;&gt;"UNASSESSABLE",I264&lt;&gt;"UNREVIEWED",I264&lt;&gt;"NOT_DUE"),1,0)</x:f>
        <x:v>0</x:v>
      </x:c>
      <x:c r="AD264" t="n">
        <x:f>IF(AND(AC264=1,I264="FULL"),1,0)</x:f>
        <x:v>0</x:v>
      </x:c>
      <x:c r="AE264" t="n">
        <x:f>IF(AND(AC264=1,OR(I264="FULL",J264="FULL")),1,0)</x:f>
        <x:v>0</x:v>
      </x:c>
      <x:c r="AF264" s="21"/>
    </x:row>
    <x:row r="265">
      <x:c r="H265" s="21"/>
      <x:c r="K265" s="21"/>
      <x:c r="L265" s="21"/>
      <x:c r="Z265" t="str">
        <x:f>IF(A265="","",IF(M265="EXCLUDED","EXCLUDED",IF(M265&lt;&gt;"VERIFIED","UNREVIEWED",IF(OR(H265="",I265="UNASSESSABLE",J265="UNASSESSABLE"),"UNSCORABLE",IF(H265&gt;=L265,IF(J265="FULL","CORRECT","PENDING"),IF(I265="FULL","CORRECT",IF(J265="FULL","LATE",IF(OR(I265="PARTIAL",J265="PARTIAL"),"PARTIAL","WRONG / MISSED"))))))))</x:f>
      </x:c>
      <x:c r="AA265" t="str">
        <x:f>IF(OR(A265="",M265&lt;&gt;"VERIFIED",H265="",K265="",J265&lt;&gt;"FULL"),"",K265-H265)</x:f>
      </x:c>
      <x:c r="AB265" t="str">
        <x:f>IF(OR(A265="",M265&lt;&gt;"VERIFIED",H265="",H265&gt;=L265,J265="FULL",J265="UNASSESSABLE"),"",L265-H265)</x:f>
      </x:c>
      <x:c r="AC265" t="n">
        <x:f>IF(AND(A265&lt;&gt;"",M265="VERIFIED",N265="YES",H265&lt;&gt;"",H265&lt;L265,I265&lt;&gt;"UNASSESSABLE",I265&lt;&gt;"UNREVIEWED",I265&lt;&gt;"NOT_DUE"),1,0)</x:f>
        <x:v>0</x:v>
      </x:c>
      <x:c r="AD265" t="n">
        <x:f>IF(AND(AC265=1,I265="FULL"),1,0)</x:f>
        <x:v>0</x:v>
      </x:c>
      <x:c r="AE265" t="n">
        <x:f>IF(AND(AC265=1,OR(I265="FULL",J265="FULL")),1,0)</x:f>
        <x:v>0</x:v>
      </x:c>
      <x:c r="AF265" s="21"/>
    </x:row>
    <x:row r="266">
      <x:c r="H266" s="21"/>
      <x:c r="K266" s="21"/>
      <x:c r="L266" s="21"/>
      <x:c r="Z266" t="str">
        <x:f>IF(A266="","",IF(M266="EXCLUDED","EXCLUDED",IF(M266&lt;&gt;"VERIFIED","UNREVIEWED",IF(OR(H266="",I266="UNASSESSABLE",J266="UNASSESSABLE"),"UNSCORABLE",IF(H266&gt;=L266,IF(J266="FULL","CORRECT","PENDING"),IF(I266="FULL","CORRECT",IF(J266="FULL","LATE",IF(OR(I266="PARTIAL",J266="PARTIAL"),"PARTIAL","WRONG / MISSED"))))))))</x:f>
      </x:c>
      <x:c r="AA266" t="str">
        <x:f>IF(OR(A266="",M266&lt;&gt;"VERIFIED",H266="",K266="",J266&lt;&gt;"FULL"),"",K266-H266)</x:f>
      </x:c>
      <x:c r="AB266" t="str">
        <x:f>IF(OR(A266="",M266&lt;&gt;"VERIFIED",H266="",H266&gt;=L266,J266="FULL",J266="UNASSESSABLE"),"",L266-H266)</x:f>
      </x:c>
      <x:c r="AC266" t="n">
        <x:f>IF(AND(A266&lt;&gt;"",M266="VERIFIED",N266="YES",H266&lt;&gt;"",H266&lt;L266,I266&lt;&gt;"UNASSESSABLE",I266&lt;&gt;"UNREVIEWED",I266&lt;&gt;"NOT_DUE"),1,0)</x:f>
        <x:v>0</x:v>
      </x:c>
      <x:c r="AD266" t="n">
        <x:f>IF(AND(AC266=1,I266="FULL"),1,0)</x:f>
        <x:v>0</x:v>
      </x:c>
      <x:c r="AE266" t="n">
        <x:f>IF(AND(AC266=1,OR(I266="FULL",J266="FULL")),1,0)</x:f>
        <x:v>0</x:v>
      </x:c>
      <x:c r="AF266" s="21"/>
    </x:row>
    <x:row r="267">
      <x:c r="H267" s="21"/>
      <x:c r="K267" s="21"/>
      <x:c r="L267" s="21"/>
      <x:c r="Z267" t="str">
        <x:f>IF(A267="","",IF(M267="EXCLUDED","EXCLUDED",IF(M267&lt;&gt;"VERIFIED","UNREVIEWED",IF(OR(H267="",I267="UNASSESSABLE",J267="UNASSESSABLE"),"UNSCORABLE",IF(H267&gt;=L267,IF(J267="FULL","CORRECT","PENDING"),IF(I267="FULL","CORRECT",IF(J267="FULL","LATE",IF(OR(I267="PARTIAL",J267="PARTIAL"),"PARTIAL","WRONG / MISSED"))))))))</x:f>
      </x:c>
      <x:c r="AA267" t="str">
        <x:f>IF(OR(A267="",M267&lt;&gt;"VERIFIED",H267="",K267="",J267&lt;&gt;"FULL"),"",K267-H267)</x:f>
      </x:c>
      <x:c r="AB267" t="str">
        <x:f>IF(OR(A267="",M267&lt;&gt;"VERIFIED",H267="",H267&gt;=L267,J267="FULL",J267="UNASSESSABLE"),"",L267-H267)</x:f>
      </x:c>
      <x:c r="AC267" t="n">
        <x:f>IF(AND(A267&lt;&gt;"",M267="VERIFIED",N267="YES",H267&lt;&gt;"",H267&lt;L267,I267&lt;&gt;"UNASSESSABLE",I267&lt;&gt;"UNREVIEWED",I267&lt;&gt;"NOT_DUE"),1,0)</x:f>
        <x:v>0</x:v>
      </x:c>
      <x:c r="AD267" t="n">
        <x:f>IF(AND(AC267=1,I267="FULL"),1,0)</x:f>
        <x:v>0</x:v>
      </x:c>
      <x:c r="AE267" t="n">
        <x:f>IF(AND(AC267=1,OR(I267="FULL",J267="FULL")),1,0)</x:f>
        <x:v>0</x:v>
      </x:c>
      <x:c r="AF267" s="21"/>
    </x:row>
    <x:row r="268">
      <x:c r="H268" s="21"/>
      <x:c r="K268" s="21"/>
      <x:c r="L268" s="21"/>
      <x:c r="Z268" t="str">
        <x:f>IF(A268="","",IF(M268="EXCLUDED","EXCLUDED",IF(M268&lt;&gt;"VERIFIED","UNREVIEWED",IF(OR(H268="",I268="UNASSESSABLE",J268="UNASSESSABLE"),"UNSCORABLE",IF(H268&gt;=L268,IF(J268="FULL","CORRECT","PENDING"),IF(I268="FULL","CORRECT",IF(J268="FULL","LATE",IF(OR(I268="PARTIAL",J268="PARTIAL"),"PARTIAL","WRONG / MISSED"))))))))</x:f>
      </x:c>
      <x:c r="AA268" t="str">
        <x:f>IF(OR(A268="",M268&lt;&gt;"VERIFIED",H268="",K268="",J268&lt;&gt;"FULL"),"",K268-H268)</x:f>
      </x:c>
      <x:c r="AB268" t="str">
        <x:f>IF(OR(A268="",M268&lt;&gt;"VERIFIED",H268="",H268&gt;=L268,J268="FULL",J268="UNASSESSABLE"),"",L268-H268)</x:f>
      </x:c>
      <x:c r="AC268" t="n">
        <x:f>IF(AND(A268&lt;&gt;"",M268="VERIFIED",N268="YES",H268&lt;&gt;"",H268&lt;L268,I268&lt;&gt;"UNASSESSABLE",I268&lt;&gt;"UNREVIEWED",I268&lt;&gt;"NOT_DUE"),1,0)</x:f>
        <x:v>0</x:v>
      </x:c>
      <x:c r="AD268" t="n">
        <x:f>IF(AND(AC268=1,I268="FULL"),1,0)</x:f>
        <x:v>0</x:v>
      </x:c>
      <x:c r="AE268" t="n">
        <x:f>IF(AND(AC268=1,OR(I268="FULL",J268="FULL")),1,0)</x:f>
        <x:v>0</x:v>
      </x:c>
      <x:c r="AF268" s="21"/>
    </x:row>
    <x:row r="269">
      <x:c r="H269" s="21"/>
      <x:c r="K269" s="21"/>
      <x:c r="L269" s="21"/>
      <x:c r="Z269" t="str">
        <x:f>IF(A269="","",IF(M269="EXCLUDED","EXCLUDED",IF(M269&lt;&gt;"VERIFIED","UNREVIEWED",IF(OR(H269="",I269="UNASSESSABLE",J269="UNASSESSABLE"),"UNSCORABLE",IF(H269&gt;=L269,IF(J269="FULL","CORRECT","PENDING"),IF(I269="FULL","CORRECT",IF(J269="FULL","LATE",IF(OR(I269="PARTIAL",J269="PARTIAL"),"PARTIAL","WRONG / MISSED"))))))))</x:f>
      </x:c>
      <x:c r="AA269" t="str">
        <x:f>IF(OR(A269="",M269&lt;&gt;"VERIFIED",H269="",K269="",J269&lt;&gt;"FULL"),"",K269-H269)</x:f>
      </x:c>
      <x:c r="AB269" t="str">
        <x:f>IF(OR(A269="",M269&lt;&gt;"VERIFIED",H269="",H269&gt;=L269,J269="FULL",J269="UNASSESSABLE"),"",L269-H269)</x:f>
      </x:c>
      <x:c r="AC269" t="n">
        <x:f>IF(AND(A269&lt;&gt;"",M269="VERIFIED",N269="YES",H269&lt;&gt;"",H269&lt;L269,I269&lt;&gt;"UNASSESSABLE",I269&lt;&gt;"UNREVIEWED",I269&lt;&gt;"NOT_DUE"),1,0)</x:f>
        <x:v>0</x:v>
      </x:c>
      <x:c r="AD269" t="n">
        <x:f>IF(AND(AC269=1,I269="FULL"),1,0)</x:f>
        <x:v>0</x:v>
      </x:c>
      <x:c r="AE269" t="n">
        <x:f>IF(AND(AC269=1,OR(I269="FULL",J269="FULL")),1,0)</x:f>
        <x:v>0</x:v>
      </x:c>
      <x:c r="AF269" s="21"/>
    </x:row>
    <x:row r="270">
      <x:c r="H270" s="21"/>
      <x:c r="K270" s="21"/>
      <x:c r="L270" s="21"/>
      <x:c r="Z270" t="str">
        <x:f>IF(A270="","",IF(M270="EXCLUDED","EXCLUDED",IF(M270&lt;&gt;"VERIFIED","UNREVIEWED",IF(OR(H270="",I270="UNASSESSABLE",J270="UNASSESSABLE"),"UNSCORABLE",IF(H270&gt;=L270,IF(J270="FULL","CORRECT","PENDING"),IF(I270="FULL","CORRECT",IF(J270="FULL","LATE",IF(OR(I270="PARTIAL",J270="PARTIAL"),"PARTIAL","WRONG / MISSED"))))))))</x:f>
      </x:c>
      <x:c r="AA270" t="str">
        <x:f>IF(OR(A270="",M270&lt;&gt;"VERIFIED",H270="",K270="",J270&lt;&gt;"FULL"),"",K270-H270)</x:f>
      </x:c>
      <x:c r="AB270" t="str">
        <x:f>IF(OR(A270="",M270&lt;&gt;"VERIFIED",H270="",H270&gt;=L270,J270="FULL",J270="UNASSESSABLE"),"",L270-H270)</x:f>
      </x:c>
      <x:c r="AC270" t="n">
        <x:f>IF(AND(A270&lt;&gt;"",M270="VERIFIED",N270="YES",H270&lt;&gt;"",H270&lt;L270,I270&lt;&gt;"UNASSESSABLE",I270&lt;&gt;"UNREVIEWED",I270&lt;&gt;"NOT_DUE"),1,0)</x:f>
        <x:v>0</x:v>
      </x:c>
      <x:c r="AD270" t="n">
        <x:f>IF(AND(AC270=1,I270="FULL"),1,0)</x:f>
        <x:v>0</x:v>
      </x:c>
      <x:c r="AE270" t="n">
        <x:f>IF(AND(AC270=1,OR(I270="FULL",J270="FULL")),1,0)</x:f>
        <x:v>0</x:v>
      </x:c>
      <x:c r="AF270" s="21"/>
    </x:row>
    <x:row r="271">
      <x:c r="H271" s="21"/>
      <x:c r="K271" s="21"/>
      <x:c r="L271" s="21"/>
      <x:c r="Z271" t="str">
        <x:f>IF(A271="","",IF(M271="EXCLUDED","EXCLUDED",IF(M271&lt;&gt;"VERIFIED","UNREVIEWED",IF(OR(H271="",I271="UNASSESSABLE",J271="UNASSESSABLE"),"UNSCORABLE",IF(H271&gt;=L271,IF(J271="FULL","CORRECT","PENDING"),IF(I271="FULL","CORRECT",IF(J271="FULL","LATE",IF(OR(I271="PARTIAL",J271="PARTIAL"),"PARTIAL","WRONG / MISSED"))))))))</x:f>
      </x:c>
      <x:c r="AA271" t="str">
        <x:f>IF(OR(A271="",M271&lt;&gt;"VERIFIED",H271="",K271="",J271&lt;&gt;"FULL"),"",K271-H271)</x:f>
      </x:c>
      <x:c r="AB271" t="str">
        <x:f>IF(OR(A271="",M271&lt;&gt;"VERIFIED",H271="",H271&gt;=L271,J271="FULL",J271="UNASSESSABLE"),"",L271-H271)</x:f>
      </x:c>
      <x:c r="AC271" t="n">
        <x:f>IF(AND(A271&lt;&gt;"",M271="VERIFIED",N271="YES",H271&lt;&gt;"",H271&lt;L271,I271&lt;&gt;"UNASSESSABLE",I271&lt;&gt;"UNREVIEWED",I271&lt;&gt;"NOT_DUE"),1,0)</x:f>
        <x:v>0</x:v>
      </x:c>
      <x:c r="AD271" t="n">
        <x:f>IF(AND(AC271=1,I271="FULL"),1,0)</x:f>
        <x:v>0</x:v>
      </x:c>
      <x:c r="AE271" t="n">
        <x:f>IF(AND(AC271=1,OR(I271="FULL",J271="FULL")),1,0)</x:f>
        <x:v>0</x:v>
      </x:c>
      <x:c r="AF271" s="21"/>
    </x:row>
    <x:row r="272">
      <x:c r="H272" s="21"/>
      <x:c r="K272" s="21"/>
      <x:c r="L272" s="21"/>
      <x:c r="Z272" t="str">
        <x:f>IF(A272="","",IF(M272="EXCLUDED","EXCLUDED",IF(M272&lt;&gt;"VERIFIED","UNREVIEWED",IF(OR(H272="",I272="UNASSESSABLE",J272="UNASSESSABLE"),"UNSCORABLE",IF(H272&gt;=L272,IF(J272="FULL","CORRECT","PENDING"),IF(I272="FULL","CORRECT",IF(J272="FULL","LATE",IF(OR(I272="PARTIAL",J272="PARTIAL"),"PARTIAL","WRONG / MISSED"))))))))</x:f>
      </x:c>
      <x:c r="AA272" t="str">
        <x:f>IF(OR(A272="",M272&lt;&gt;"VERIFIED",H272="",K272="",J272&lt;&gt;"FULL"),"",K272-H272)</x:f>
      </x:c>
      <x:c r="AB272" t="str">
        <x:f>IF(OR(A272="",M272&lt;&gt;"VERIFIED",H272="",H272&gt;=L272,J272="FULL",J272="UNASSESSABLE"),"",L272-H272)</x:f>
      </x:c>
      <x:c r="AC272" t="n">
        <x:f>IF(AND(A272&lt;&gt;"",M272="VERIFIED",N272="YES",H272&lt;&gt;"",H272&lt;L272,I272&lt;&gt;"UNASSESSABLE",I272&lt;&gt;"UNREVIEWED",I272&lt;&gt;"NOT_DUE"),1,0)</x:f>
        <x:v>0</x:v>
      </x:c>
      <x:c r="AD272" t="n">
        <x:f>IF(AND(AC272=1,I272="FULL"),1,0)</x:f>
        <x:v>0</x:v>
      </x:c>
      <x:c r="AE272" t="n">
        <x:f>IF(AND(AC272=1,OR(I272="FULL",J272="FULL")),1,0)</x:f>
        <x:v>0</x:v>
      </x:c>
      <x:c r="AF272" s="21"/>
    </x:row>
    <x:row r="273">
      <x:c r="H273" s="21"/>
      <x:c r="K273" s="21"/>
      <x:c r="L273" s="21"/>
      <x:c r="Z273" t="str">
        <x:f>IF(A273="","",IF(M273="EXCLUDED","EXCLUDED",IF(M273&lt;&gt;"VERIFIED","UNREVIEWED",IF(OR(H273="",I273="UNASSESSABLE",J273="UNASSESSABLE"),"UNSCORABLE",IF(H273&gt;=L273,IF(J273="FULL","CORRECT","PENDING"),IF(I273="FULL","CORRECT",IF(J273="FULL","LATE",IF(OR(I273="PARTIAL",J273="PARTIAL"),"PARTIAL","WRONG / MISSED"))))))))</x:f>
      </x:c>
      <x:c r="AA273" t="str">
        <x:f>IF(OR(A273="",M273&lt;&gt;"VERIFIED",H273="",K273="",J273&lt;&gt;"FULL"),"",K273-H273)</x:f>
      </x:c>
      <x:c r="AB273" t="str">
        <x:f>IF(OR(A273="",M273&lt;&gt;"VERIFIED",H273="",H273&gt;=L273,J273="FULL",J273="UNASSESSABLE"),"",L273-H273)</x:f>
      </x:c>
      <x:c r="AC273" t="n">
        <x:f>IF(AND(A273&lt;&gt;"",M273="VERIFIED",N273="YES",H273&lt;&gt;"",H273&lt;L273,I273&lt;&gt;"UNASSESSABLE",I273&lt;&gt;"UNREVIEWED",I273&lt;&gt;"NOT_DUE"),1,0)</x:f>
        <x:v>0</x:v>
      </x:c>
      <x:c r="AD273" t="n">
        <x:f>IF(AND(AC273=1,I273="FULL"),1,0)</x:f>
        <x:v>0</x:v>
      </x:c>
      <x:c r="AE273" t="n">
        <x:f>IF(AND(AC273=1,OR(I273="FULL",J273="FULL")),1,0)</x:f>
        <x:v>0</x:v>
      </x:c>
      <x:c r="AF273" s="21"/>
    </x:row>
    <x:row r="274">
      <x:c r="H274" s="21"/>
      <x:c r="K274" s="21"/>
      <x:c r="L274" s="21"/>
      <x:c r="Z274" t="str">
        <x:f>IF(A274="","",IF(M274="EXCLUDED","EXCLUDED",IF(M274&lt;&gt;"VERIFIED","UNREVIEWED",IF(OR(H274="",I274="UNASSESSABLE",J274="UNASSESSABLE"),"UNSCORABLE",IF(H274&gt;=L274,IF(J274="FULL","CORRECT","PENDING"),IF(I274="FULL","CORRECT",IF(J274="FULL","LATE",IF(OR(I274="PARTIAL",J274="PARTIAL"),"PARTIAL","WRONG / MISSED"))))))))</x:f>
      </x:c>
      <x:c r="AA274" t="str">
        <x:f>IF(OR(A274="",M274&lt;&gt;"VERIFIED",H274="",K274="",J274&lt;&gt;"FULL"),"",K274-H274)</x:f>
      </x:c>
      <x:c r="AB274" t="str">
        <x:f>IF(OR(A274="",M274&lt;&gt;"VERIFIED",H274="",H274&gt;=L274,J274="FULL",J274="UNASSESSABLE"),"",L274-H274)</x:f>
      </x:c>
      <x:c r="AC274" t="n">
        <x:f>IF(AND(A274&lt;&gt;"",M274="VERIFIED",N274="YES",H274&lt;&gt;"",H274&lt;L274,I274&lt;&gt;"UNASSESSABLE",I274&lt;&gt;"UNREVIEWED",I274&lt;&gt;"NOT_DUE"),1,0)</x:f>
        <x:v>0</x:v>
      </x:c>
      <x:c r="AD274" t="n">
        <x:f>IF(AND(AC274=1,I274="FULL"),1,0)</x:f>
        <x:v>0</x:v>
      </x:c>
      <x:c r="AE274" t="n">
        <x:f>IF(AND(AC274=1,OR(I274="FULL",J274="FULL")),1,0)</x:f>
        <x:v>0</x:v>
      </x:c>
      <x:c r="AF274" s="21"/>
    </x:row>
    <x:row r="275">
      <x:c r="H275" s="21"/>
      <x:c r="K275" s="21"/>
      <x:c r="L275" s="21"/>
      <x:c r="Z275" t="str">
        <x:f>IF(A275="","",IF(M275="EXCLUDED","EXCLUDED",IF(M275&lt;&gt;"VERIFIED","UNREVIEWED",IF(OR(H275="",I275="UNASSESSABLE",J275="UNASSESSABLE"),"UNSCORABLE",IF(H275&gt;=L275,IF(J275="FULL","CORRECT","PENDING"),IF(I275="FULL","CORRECT",IF(J275="FULL","LATE",IF(OR(I275="PARTIAL",J275="PARTIAL"),"PARTIAL","WRONG / MISSED"))))))))</x:f>
      </x:c>
      <x:c r="AA275" t="str">
        <x:f>IF(OR(A275="",M275&lt;&gt;"VERIFIED",H275="",K275="",J275&lt;&gt;"FULL"),"",K275-H275)</x:f>
      </x:c>
      <x:c r="AB275" t="str">
        <x:f>IF(OR(A275="",M275&lt;&gt;"VERIFIED",H275="",H275&gt;=L275,J275="FULL",J275="UNASSESSABLE"),"",L275-H275)</x:f>
      </x:c>
      <x:c r="AC275" t="n">
        <x:f>IF(AND(A275&lt;&gt;"",M275="VERIFIED",N275="YES",H275&lt;&gt;"",H275&lt;L275,I275&lt;&gt;"UNASSESSABLE",I275&lt;&gt;"UNREVIEWED",I275&lt;&gt;"NOT_DUE"),1,0)</x:f>
        <x:v>0</x:v>
      </x:c>
      <x:c r="AD275" t="n">
        <x:f>IF(AND(AC275=1,I275="FULL"),1,0)</x:f>
        <x:v>0</x:v>
      </x:c>
      <x:c r="AE275" t="n">
        <x:f>IF(AND(AC275=1,OR(I275="FULL",J275="FULL")),1,0)</x:f>
        <x:v>0</x:v>
      </x:c>
      <x:c r="AF275" s="21"/>
    </x:row>
    <x:row r="276">
      <x:c r="H276" s="21"/>
      <x:c r="K276" s="21"/>
      <x:c r="L276" s="21"/>
      <x:c r="Z276" t="str">
        <x:f>IF(A276="","",IF(M276="EXCLUDED","EXCLUDED",IF(M276&lt;&gt;"VERIFIED","UNREVIEWED",IF(OR(H276="",I276="UNASSESSABLE",J276="UNASSESSABLE"),"UNSCORABLE",IF(H276&gt;=L276,IF(J276="FULL","CORRECT","PENDING"),IF(I276="FULL","CORRECT",IF(J276="FULL","LATE",IF(OR(I276="PARTIAL",J276="PARTIAL"),"PARTIAL","WRONG / MISSED"))))))))</x:f>
      </x:c>
      <x:c r="AA276" t="str">
        <x:f>IF(OR(A276="",M276&lt;&gt;"VERIFIED",H276="",K276="",J276&lt;&gt;"FULL"),"",K276-H276)</x:f>
      </x:c>
      <x:c r="AB276" t="str">
        <x:f>IF(OR(A276="",M276&lt;&gt;"VERIFIED",H276="",H276&gt;=L276,J276="FULL",J276="UNASSESSABLE"),"",L276-H276)</x:f>
      </x:c>
      <x:c r="AC276" t="n">
        <x:f>IF(AND(A276&lt;&gt;"",M276="VERIFIED",N276="YES",H276&lt;&gt;"",H276&lt;L276,I276&lt;&gt;"UNASSESSABLE",I276&lt;&gt;"UNREVIEWED",I276&lt;&gt;"NOT_DUE"),1,0)</x:f>
        <x:v>0</x:v>
      </x:c>
      <x:c r="AD276" t="n">
        <x:f>IF(AND(AC276=1,I276="FULL"),1,0)</x:f>
        <x:v>0</x:v>
      </x:c>
      <x:c r="AE276" t="n">
        <x:f>IF(AND(AC276=1,OR(I276="FULL",J276="FULL")),1,0)</x:f>
        <x:v>0</x:v>
      </x:c>
      <x:c r="AF276" s="21"/>
    </x:row>
    <x:row r="277">
      <x:c r="H277" s="21"/>
      <x:c r="K277" s="21"/>
      <x:c r="L277" s="21"/>
      <x:c r="Z277" t="str">
        <x:f>IF(A277="","",IF(M277="EXCLUDED","EXCLUDED",IF(M277&lt;&gt;"VERIFIED","UNREVIEWED",IF(OR(H277="",I277="UNASSESSABLE",J277="UNASSESSABLE"),"UNSCORABLE",IF(H277&gt;=L277,IF(J277="FULL","CORRECT","PENDING"),IF(I277="FULL","CORRECT",IF(J277="FULL","LATE",IF(OR(I277="PARTIAL",J277="PARTIAL"),"PARTIAL","WRONG / MISSED"))))))))</x:f>
      </x:c>
      <x:c r="AA277" t="str">
        <x:f>IF(OR(A277="",M277&lt;&gt;"VERIFIED",H277="",K277="",J277&lt;&gt;"FULL"),"",K277-H277)</x:f>
      </x:c>
      <x:c r="AB277" t="str">
        <x:f>IF(OR(A277="",M277&lt;&gt;"VERIFIED",H277="",H277&gt;=L277,J277="FULL",J277="UNASSESSABLE"),"",L277-H277)</x:f>
      </x:c>
      <x:c r="AC277" t="n">
        <x:f>IF(AND(A277&lt;&gt;"",M277="VERIFIED",N277="YES",H277&lt;&gt;"",H277&lt;L277,I277&lt;&gt;"UNASSESSABLE",I277&lt;&gt;"UNREVIEWED",I277&lt;&gt;"NOT_DUE"),1,0)</x:f>
        <x:v>0</x:v>
      </x:c>
      <x:c r="AD277" t="n">
        <x:f>IF(AND(AC277=1,I277="FULL"),1,0)</x:f>
        <x:v>0</x:v>
      </x:c>
      <x:c r="AE277" t="n">
        <x:f>IF(AND(AC277=1,OR(I277="FULL",J277="FULL")),1,0)</x:f>
        <x:v>0</x:v>
      </x:c>
      <x:c r="AF277" s="21"/>
    </x:row>
    <x:row r="278">
      <x:c r="H278" s="21"/>
      <x:c r="K278" s="21"/>
      <x:c r="L278" s="21"/>
      <x:c r="Z278" t="str">
        <x:f>IF(A278="","",IF(M278="EXCLUDED","EXCLUDED",IF(M278&lt;&gt;"VERIFIED","UNREVIEWED",IF(OR(H278="",I278="UNASSESSABLE",J278="UNASSESSABLE"),"UNSCORABLE",IF(H278&gt;=L278,IF(J278="FULL","CORRECT","PENDING"),IF(I278="FULL","CORRECT",IF(J278="FULL","LATE",IF(OR(I278="PARTIAL",J278="PARTIAL"),"PARTIAL","WRONG / MISSED"))))))))</x:f>
      </x:c>
      <x:c r="AA278" t="str">
        <x:f>IF(OR(A278="",M278&lt;&gt;"VERIFIED",H278="",K278="",J278&lt;&gt;"FULL"),"",K278-H278)</x:f>
      </x:c>
      <x:c r="AB278" t="str">
        <x:f>IF(OR(A278="",M278&lt;&gt;"VERIFIED",H278="",H278&gt;=L278,J278="FULL",J278="UNASSESSABLE"),"",L278-H278)</x:f>
      </x:c>
      <x:c r="AC278" t="n">
        <x:f>IF(AND(A278&lt;&gt;"",M278="VERIFIED",N278="YES",H278&lt;&gt;"",H278&lt;L278,I278&lt;&gt;"UNASSESSABLE",I278&lt;&gt;"UNREVIEWED",I278&lt;&gt;"NOT_DUE"),1,0)</x:f>
        <x:v>0</x:v>
      </x:c>
      <x:c r="AD278" t="n">
        <x:f>IF(AND(AC278=1,I278="FULL"),1,0)</x:f>
        <x:v>0</x:v>
      </x:c>
      <x:c r="AE278" t="n">
        <x:f>IF(AND(AC278=1,OR(I278="FULL",J278="FULL")),1,0)</x:f>
        <x:v>0</x:v>
      </x:c>
      <x:c r="AF278" s="21"/>
    </x:row>
    <x:row r="279">
      <x:c r="H279" s="21"/>
      <x:c r="K279" s="21"/>
      <x:c r="L279" s="21"/>
      <x:c r="Z279" t="str">
        <x:f>IF(A279="","",IF(M279="EXCLUDED","EXCLUDED",IF(M279&lt;&gt;"VERIFIED","UNREVIEWED",IF(OR(H279="",I279="UNASSESSABLE",J279="UNASSESSABLE"),"UNSCORABLE",IF(H279&gt;=L279,IF(J279="FULL","CORRECT","PENDING"),IF(I279="FULL","CORRECT",IF(J279="FULL","LATE",IF(OR(I279="PARTIAL",J279="PARTIAL"),"PARTIAL","WRONG / MISSED"))))))))</x:f>
      </x:c>
      <x:c r="AA279" t="str">
        <x:f>IF(OR(A279="",M279&lt;&gt;"VERIFIED",H279="",K279="",J279&lt;&gt;"FULL"),"",K279-H279)</x:f>
      </x:c>
      <x:c r="AB279" t="str">
        <x:f>IF(OR(A279="",M279&lt;&gt;"VERIFIED",H279="",H279&gt;=L279,J279="FULL",J279="UNASSESSABLE"),"",L279-H279)</x:f>
      </x:c>
      <x:c r="AC279" t="n">
        <x:f>IF(AND(A279&lt;&gt;"",M279="VERIFIED",N279="YES",H279&lt;&gt;"",H279&lt;L279,I279&lt;&gt;"UNASSESSABLE",I279&lt;&gt;"UNREVIEWED",I279&lt;&gt;"NOT_DUE"),1,0)</x:f>
        <x:v>0</x:v>
      </x:c>
      <x:c r="AD279" t="n">
        <x:f>IF(AND(AC279=1,I279="FULL"),1,0)</x:f>
        <x:v>0</x:v>
      </x:c>
      <x:c r="AE279" t="n">
        <x:f>IF(AND(AC279=1,OR(I279="FULL",J279="FULL")),1,0)</x:f>
        <x:v>0</x:v>
      </x:c>
      <x:c r="AF279" s="21"/>
    </x:row>
    <x:row r="280">
      <x:c r="H280" s="21"/>
      <x:c r="K280" s="21"/>
      <x:c r="L280" s="21"/>
      <x:c r="Z280" t="str">
        <x:f>IF(A280="","",IF(M280="EXCLUDED","EXCLUDED",IF(M280&lt;&gt;"VERIFIED","UNREVIEWED",IF(OR(H280="",I280="UNASSESSABLE",J280="UNASSESSABLE"),"UNSCORABLE",IF(H280&gt;=L280,IF(J280="FULL","CORRECT","PENDING"),IF(I280="FULL","CORRECT",IF(J280="FULL","LATE",IF(OR(I280="PARTIAL",J280="PARTIAL"),"PARTIAL","WRONG / MISSED"))))))))</x:f>
      </x:c>
      <x:c r="AA280" t="str">
        <x:f>IF(OR(A280="",M280&lt;&gt;"VERIFIED",H280="",K280="",J280&lt;&gt;"FULL"),"",K280-H280)</x:f>
      </x:c>
      <x:c r="AB280" t="str">
        <x:f>IF(OR(A280="",M280&lt;&gt;"VERIFIED",H280="",H280&gt;=L280,J280="FULL",J280="UNASSESSABLE"),"",L280-H280)</x:f>
      </x:c>
      <x:c r="AC280" t="n">
        <x:f>IF(AND(A280&lt;&gt;"",M280="VERIFIED",N280="YES",H280&lt;&gt;"",H280&lt;L280,I280&lt;&gt;"UNASSESSABLE",I280&lt;&gt;"UNREVIEWED",I280&lt;&gt;"NOT_DUE"),1,0)</x:f>
        <x:v>0</x:v>
      </x:c>
      <x:c r="AD280" t="n">
        <x:f>IF(AND(AC280=1,I280="FULL"),1,0)</x:f>
        <x:v>0</x:v>
      </x:c>
      <x:c r="AE280" t="n">
        <x:f>IF(AND(AC280=1,OR(I280="FULL",J280="FULL")),1,0)</x:f>
        <x:v>0</x:v>
      </x:c>
      <x:c r="AF280" s="21"/>
    </x:row>
    <x:row r="281">
      <x:c r="H281" s="21"/>
      <x:c r="K281" s="21"/>
      <x:c r="L281" s="21"/>
      <x:c r="Z281" t="str">
        <x:f>IF(A281="","",IF(M281="EXCLUDED","EXCLUDED",IF(M281&lt;&gt;"VERIFIED","UNREVIEWED",IF(OR(H281="",I281="UNASSESSABLE",J281="UNASSESSABLE"),"UNSCORABLE",IF(H281&gt;=L281,IF(J281="FULL","CORRECT","PENDING"),IF(I281="FULL","CORRECT",IF(J281="FULL","LATE",IF(OR(I281="PARTIAL",J281="PARTIAL"),"PARTIAL","WRONG / MISSED"))))))))</x:f>
      </x:c>
      <x:c r="AA281" t="str">
        <x:f>IF(OR(A281="",M281&lt;&gt;"VERIFIED",H281="",K281="",J281&lt;&gt;"FULL"),"",K281-H281)</x:f>
      </x:c>
      <x:c r="AB281" t="str">
        <x:f>IF(OR(A281="",M281&lt;&gt;"VERIFIED",H281="",H281&gt;=L281,J281="FULL",J281="UNASSESSABLE"),"",L281-H281)</x:f>
      </x:c>
      <x:c r="AC281" t="n">
        <x:f>IF(AND(A281&lt;&gt;"",M281="VERIFIED",N281="YES",H281&lt;&gt;"",H281&lt;L281,I281&lt;&gt;"UNASSESSABLE",I281&lt;&gt;"UNREVIEWED",I281&lt;&gt;"NOT_DUE"),1,0)</x:f>
        <x:v>0</x:v>
      </x:c>
      <x:c r="AD281" t="n">
        <x:f>IF(AND(AC281=1,I281="FULL"),1,0)</x:f>
        <x:v>0</x:v>
      </x:c>
      <x:c r="AE281" t="n">
        <x:f>IF(AND(AC281=1,OR(I281="FULL",J281="FULL")),1,0)</x:f>
        <x:v>0</x:v>
      </x:c>
      <x:c r="AF281" s="21"/>
    </x:row>
    <x:row r="282">
      <x:c r="H282" s="21"/>
      <x:c r="K282" s="21"/>
      <x:c r="L282" s="21"/>
      <x:c r="Z282" t="str">
        <x:f>IF(A282="","",IF(M282="EXCLUDED","EXCLUDED",IF(M282&lt;&gt;"VERIFIED","UNREVIEWED",IF(OR(H282="",I282="UNASSESSABLE",J282="UNASSESSABLE"),"UNSCORABLE",IF(H282&gt;=L282,IF(J282="FULL","CORRECT","PENDING"),IF(I282="FULL","CORRECT",IF(J282="FULL","LATE",IF(OR(I282="PARTIAL",J282="PARTIAL"),"PARTIAL","WRONG / MISSED"))))))))</x:f>
      </x:c>
      <x:c r="AA282" t="str">
        <x:f>IF(OR(A282="",M282&lt;&gt;"VERIFIED",H282="",K282="",J282&lt;&gt;"FULL"),"",K282-H282)</x:f>
      </x:c>
      <x:c r="AB282" t="str">
        <x:f>IF(OR(A282="",M282&lt;&gt;"VERIFIED",H282="",H282&gt;=L282,J282="FULL",J282="UNASSESSABLE"),"",L282-H282)</x:f>
      </x:c>
      <x:c r="AC282" t="n">
        <x:f>IF(AND(A282&lt;&gt;"",M282="VERIFIED",N282="YES",H282&lt;&gt;"",H282&lt;L282,I282&lt;&gt;"UNASSESSABLE",I282&lt;&gt;"UNREVIEWED",I282&lt;&gt;"NOT_DUE"),1,0)</x:f>
        <x:v>0</x:v>
      </x:c>
      <x:c r="AD282" t="n">
        <x:f>IF(AND(AC282=1,I282="FULL"),1,0)</x:f>
        <x:v>0</x:v>
      </x:c>
      <x:c r="AE282" t="n">
        <x:f>IF(AND(AC282=1,OR(I282="FULL",J282="FULL")),1,0)</x:f>
        <x:v>0</x:v>
      </x:c>
      <x:c r="AF282" s="21"/>
    </x:row>
    <x:row r="283">
      <x:c r="H283" s="21"/>
      <x:c r="K283" s="21"/>
      <x:c r="L283" s="21"/>
      <x:c r="Z283" t="str">
        <x:f>IF(A283="","",IF(M283="EXCLUDED","EXCLUDED",IF(M283&lt;&gt;"VERIFIED","UNREVIEWED",IF(OR(H283="",I283="UNASSESSABLE",J283="UNASSESSABLE"),"UNSCORABLE",IF(H283&gt;=L283,IF(J283="FULL","CORRECT","PENDING"),IF(I283="FULL","CORRECT",IF(J283="FULL","LATE",IF(OR(I283="PARTIAL",J283="PARTIAL"),"PARTIAL","WRONG / MISSED"))))))))</x:f>
      </x:c>
      <x:c r="AA283" t="str">
        <x:f>IF(OR(A283="",M283&lt;&gt;"VERIFIED",H283="",K283="",J283&lt;&gt;"FULL"),"",K283-H283)</x:f>
      </x:c>
      <x:c r="AB283" t="str">
        <x:f>IF(OR(A283="",M283&lt;&gt;"VERIFIED",H283="",H283&gt;=L283,J283="FULL",J283="UNASSESSABLE"),"",L283-H283)</x:f>
      </x:c>
      <x:c r="AC283" t="n">
        <x:f>IF(AND(A283&lt;&gt;"",M283="VERIFIED",N283="YES",H283&lt;&gt;"",H283&lt;L283,I283&lt;&gt;"UNASSESSABLE",I283&lt;&gt;"UNREVIEWED",I283&lt;&gt;"NOT_DUE"),1,0)</x:f>
        <x:v>0</x:v>
      </x:c>
      <x:c r="AD283" t="n">
        <x:f>IF(AND(AC283=1,I283="FULL"),1,0)</x:f>
        <x:v>0</x:v>
      </x:c>
      <x:c r="AE283" t="n">
        <x:f>IF(AND(AC283=1,OR(I283="FULL",J283="FULL")),1,0)</x:f>
        <x:v>0</x:v>
      </x:c>
      <x:c r="AF283" s="21"/>
    </x:row>
    <x:row r="284">
      <x:c r="H284" s="21"/>
      <x:c r="K284" s="21"/>
      <x:c r="L284" s="21"/>
      <x:c r="Z284" t="str">
        <x:f>IF(A284="","",IF(M284="EXCLUDED","EXCLUDED",IF(M284&lt;&gt;"VERIFIED","UNREVIEWED",IF(OR(H284="",I284="UNASSESSABLE",J284="UNASSESSABLE"),"UNSCORABLE",IF(H284&gt;=L284,IF(J284="FULL","CORRECT","PENDING"),IF(I284="FULL","CORRECT",IF(J284="FULL","LATE",IF(OR(I284="PARTIAL",J284="PARTIAL"),"PARTIAL","WRONG / MISSED"))))))))</x:f>
      </x:c>
      <x:c r="AA284" t="str">
        <x:f>IF(OR(A284="",M284&lt;&gt;"VERIFIED",H284="",K284="",J284&lt;&gt;"FULL"),"",K284-H284)</x:f>
      </x:c>
      <x:c r="AB284" t="str">
        <x:f>IF(OR(A284="",M284&lt;&gt;"VERIFIED",H284="",H284&gt;=L284,J284="FULL",J284="UNASSESSABLE"),"",L284-H284)</x:f>
      </x:c>
      <x:c r="AC284" t="n">
        <x:f>IF(AND(A284&lt;&gt;"",M284="VERIFIED",N284="YES",H284&lt;&gt;"",H284&lt;L284,I284&lt;&gt;"UNASSESSABLE",I284&lt;&gt;"UNREVIEWED",I284&lt;&gt;"NOT_DUE"),1,0)</x:f>
        <x:v>0</x:v>
      </x:c>
      <x:c r="AD284" t="n">
        <x:f>IF(AND(AC284=1,I284="FULL"),1,0)</x:f>
        <x:v>0</x:v>
      </x:c>
      <x:c r="AE284" t="n">
        <x:f>IF(AND(AC284=1,OR(I284="FULL",J284="FULL")),1,0)</x:f>
        <x:v>0</x:v>
      </x:c>
      <x:c r="AF284" s="21"/>
    </x:row>
    <x:row r="285">
      <x:c r="H285" s="21"/>
      <x:c r="K285" s="21"/>
      <x:c r="L285" s="21"/>
      <x:c r="Z285" t="str">
        <x:f>IF(A285="","",IF(M285="EXCLUDED","EXCLUDED",IF(M285&lt;&gt;"VERIFIED","UNREVIEWED",IF(OR(H285="",I285="UNASSESSABLE",J285="UNASSESSABLE"),"UNSCORABLE",IF(H285&gt;=L285,IF(J285="FULL","CORRECT","PENDING"),IF(I285="FULL","CORRECT",IF(J285="FULL","LATE",IF(OR(I285="PARTIAL",J285="PARTIAL"),"PARTIAL","WRONG / MISSED"))))))))</x:f>
      </x:c>
      <x:c r="AA285" t="str">
        <x:f>IF(OR(A285="",M285&lt;&gt;"VERIFIED",H285="",K285="",J285&lt;&gt;"FULL"),"",K285-H285)</x:f>
      </x:c>
      <x:c r="AB285" t="str">
        <x:f>IF(OR(A285="",M285&lt;&gt;"VERIFIED",H285="",H285&gt;=L285,J285="FULL",J285="UNASSESSABLE"),"",L285-H285)</x:f>
      </x:c>
      <x:c r="AC285" t="n">
        <x:f>IF(AND(A285&lt;&gt;"",M285="VERIFIED",N285="YES",H285&lt;&gt;"",H285&lt;L285,I285&lt;&gt;"UNASSESSABLE",I285&lt;&gt;"UNREVIEWED",I285&lt;&gt;"NOT_DUE"),1,0)</x:f>
        <x:v>0</x:v>
      </x:c>
      <x:c r="AD285" t="n">
        <x:f>IF(AND(AC285=1,I285="FULL"),1,0)</x:f>
        <x:v>0</x:v>
      </x:c>
      <x:c r="AE285" t="n">
        <x:f>IF(AND(AC285=1,OR(I285="FULL",J285="FULL")),1,0)</x:f>
        <x:v>0</x:v>
      </x:c>
      <x:c r="AF285" s="21"/>
    </x:row>
    <x:row r="286">
      <x:c r="H286" s="21"/>
      <x:c r="K286" s="21"/>
      <x:c r="L286" s="21"/>
      <x:c r="Z286" t="str">
        <x:f>IF(A286="","",IF(M286="EXCLUDED","EXCLUDED",IF(M286&lt;&gt;"VERIFIED","UNREVIEWED",IF(OR(H286="",I286="UNASSESSABLE",J286="UNASSESSABLE"),"UNSCORABLE",IF(H286&gt;=L286,IF(J286="FULL","CORRECT","PENDING"),IF(I286="FULL","CORRECT",IF(J286="FULL","LATE",IF(OR(I286="PARTIAL",J286="PARTIAL"),"PARTIAL","WRONG / MISSED"))))))))</x:f>
      </x:c>
      <x:c r="AA286" t="str">
        <x:f>IF(OR(A286="",M286&lt;&gt;"VERIFIED",H286="",K286="",J286&lt;&gt;"FULL"),"",K286-H286)</x:f>
      </x:c>
      <x:c r="AB286" t="str">
        <x:f>IF(OR(A286="",M286&lt;&gt;"VERIFIED",H286="",H286&gt;=L286,J286="FULL",J286="UNASSESSABLE"),"",L286-H286)</x:f>
      </x:c>
      <x:c r="AC286" t="n">
        <x:f>IF(AND(A286&lt;&gt;"",M286="VERIFIED",N286="YES",H286&lt;&gt;"",H286&lt;L286,I286&lt;&gt;"UNASSESSABLE",I286&lt;&gt;"UNREVIEWED",I286&lt;&gt;"NOT_DUE"),1,0)</x:f>
        <x:v>0</x:v>
      </x:c>
      <x:c r="AD286" t="n">
        <x:f>IF(AND(AC286=1,I286="FULL"),1,0)</x:f>
        <x:v>0</x:v>
      </x:c>
      <x:c r="AE286" t="n">
        <x:f>IF(AND(AC286=1,OR(I286="FULL",J286="FULL")),1,0)</x:f>
        <x:v>0</x:v>
      </x:c>
      <x:c r="AF286" s="21"/>
    </x:row>
    <x:row r="287">
      <x:c r="H287" s="21"/>
      <x:c r="K287" s="21"/>
      <x:c r="L287" s="21"/>
      <x:c r="Z287" t="str">
        <x:f>IF(A287="","",IF(M287="EXCLUDED","EXCLUDED",IF(M287&lt;&gt;"VERIFIED","UNREVIEWED",IF(OR(H287="",I287="UNASSESSABLE",J287="UNASSESSABLE"),"UNSCORABLE",IF(H287&gt;=L287,IF(J287="FULL","CORRECT","PENDING"),IF(I287="FULL","CORRECT",IF(J287="FULL","LATE",IF(OR(I287="PARTIAL",J287="PARTIAL"),"PARTIAL","WRONG / MISSED"))))))))</x:f>
      </x:c>
      <x:c r="AA287" t="str">
        <x:f>IF(OR(A287="",M287&lt;&gt;"VERIFIED",H287="",K287="",J287&lt;&gt;"FULL"),"",K287-H287)</x:f>
      </x:c>
      <x:c r="AB287" t="str">
        <x:f>IF(OR(A287="",M287&lt;&gt;"VERIFIED",H287="",H287&gt;=L287,J287="FULL",J287="UNASSESSABLE"),"",L287-H287)</x:f>
      </x:c>
      <x:c r="AC287" t="n">
        <x:f>IF(AND(A287&lt;&gt;"",M287="VERIFIED",N287="YES",H287&lt;&gt;"",H287&lt;L287,I287&lt;&gt;"UNASSESSABLE",I287&lt;&gt;"UNREVIEWED",I287&lt;&gt;"NOT_DUE"),1,0)</x:f>
        <x:v>0</x:v>
      </x:c>
      <x:c r="AD287" t="n">
        <x:f>IF(AND(AC287=1,I287="FULL"),1,0)</x:f>
        <x:v>0</x:v>
      </x:c>
      <x:c r="AE287" t="n">
        <x:f>IF(AND(AC287=1,OR(I287="FULL",J287="FULL")),1,0)</x:f>
        <x:v>0</x:v>
      </x:c>
      <x:c r="AF287" s="21"/>
    </x:row>
    <x:row r="288">
      <x:c r="H288" s="21"/>
      <x:c r="K288" s="21"/>
      <x:c r="L288" s="21"/>
      <x:c r="Z288" t="str">
        <x:f>IF(A288="","",IF(M288="EXCLUDED","EXCLUDED",IF(M288&lt;&gt;"VERIFIED","UNREVIEWED",IF(OR(H288="",I288="UNASSESSABLE",J288="UNASSESSABLE"),"UNSCORABLE",IF(H288&gt;=L288,IF(J288="FULL","CORRECT","PENDING"),IF(I288="FULL","CORRECT",IF(J288="FULL","LATE",IF(OR(I288="PARTIAL",J288="PARTIAL"),"PARTIAL","WRONG / MISSED"))))))))</x:f>
      </x:c>
      <x:c r="AA288" t="str">
        <x:f>IF(OR(A288="",M288&lt;&gt;"VERIFIED",H288="",K288="",J288&lt;&gt;"FULL"),"",K288-H288)</x:f>
      </x:c>
      <x:c r="AB288" t="str">
        <x:f>IF(OR(A288="",M288&lt;&gt;"VERIFIED",H288="",H288&gt;=L288,J288="FULL",J288="UNASSESSABLE"),"",L288-H288)</x:f>
      </x:c>
      <x:c r="AC288" t="n">
        <x:f>IF(AND(A288&lt;&gt;"",M288="VERIFIED",N288="YES",H288&lt;&gt;"",H288&lt;L288,I288&lt;&gt;"UNASSESSABLE",I288&lt;&gt;"UNREVIEWED",I288&lt;&gt;"NOT_DUE"),1,0)</x:f>
        <x:v>0</x:v>
      </x:c>
      <x:c r="AD288" t="n">
        <x:f>IF(AND(AC288=1,I288="FULL"),1,0)</x:f>
        <x:v>0</x:v>
      </x:c>
      <x:c r="AE288" t="n">
        <x:f>IF(AND(AC288=1,OR(I288="FULL",J288="FULL")),1,0)</x:f>
        <x:v>0</x:v>
      </x:c>
      <x:c r="AF288" s="21"/>
    </x:row>
    <x:row r="289">
      <x:c r="H289" s="21"/>
      <x:c r="K289" s="21"/>
      <x:c r="L289" s="21"/>
      <x:c r="Z289" t="str">
        <x:f>IF(A289="","",IF(M289="EXCLUDED","EXCLUDED",IF(M289&lt;&gt;"VERIFIED","UNREVIEWED",IF(OR(H289="",I289="UNASSESSABLE",J289="UNASSESSABLE"),"UNSCORABLE",IF(H289&gt;=L289,IF(J289="FULL","CORRECT","PENDING"),IF(I289="FULL","CORRECT",IF(J289="FULL","LATE",IF(OR(I289="PARTIAL",J289="PARTIAL"),"PARTIAL","WRONG / MISSED"))))))))</x:f>
      </x:c>
      <x:c r="AA289" t="str">
        <x:f>IF(OR(A289="",M289&lt;&gt;"VERIFIED",H289="",K289="",J289&lt;&gt;"FULL"),"",K289-H289)</x:f>
      </x:c>
      <x:c r="AB289" t="str">
        <x:f>IF(OR(A289="",M289&lt;&gt;"VERIFIED",H289="",H289&gt;=L289,J289="FULL",J289="UNASSESSABLE"),"",L289-H289)</x:f>
      </x:c>
      <x:c r="AC289" t="n">
        <x:f>IF(AND(A289&lt;&gt;"",M289="VERIFIED",N289="YES",H289&lt;&gt;"",H289&lt;L289,I289&lt;&gt;"UNASSESSABLE",I289&lt;&gt;"UNREVIEWED",I289&lt;&gt;"NOT_DUE"),1,0)</x:f>
        <x:v>0</x:v>
      </x:c>
      <x:c r="AD289" t="n">
        <x:f>IF(AND(AC289=1,I289="FULL"),1,0)</x:f>
        <x:v>0</x:v>
      </x:c>
      <x:c r="AE289" t="n">
        <x:f>IF(AND(AC289=1,OR(I289="FULL",J289="FULL")),1,0)</x:f>
        <x:v>0</x:v>
      </x:c>
      <x:c r="AF289" s="21"/>
    </x:row>
    <x:row r="290">
      <x:c r="H290" s="21"/>
      <x:c r="K290" s="21"/>
      <x:c r="L290" s="21"/>
      <x:c r="Z290" t="str">
        <x:f>IF(A290="","",IF(M290="EXCLUDED","EXCLUDED",IF(M290&lt;&gt;"VERIFIED","UNREVIEWED",IF(OR(H290="",I290="UNASSESSABLE",J290="UNASSESSABLE"),"UNSCORABLE",IF(H290&gt;=L290,IF(J290="FULL","CORRECT","PENDING"),IF(I290="FULL","CORRECT",IF(J290="FULL","LATE",IF(OR(I290="PARTIAL",J290="PARTIAL"),"PARTIAL","WRONG / MISSED"))))))))</x:f>
      </x:c>
      <x:c r="AA290" t="str">
        <x:f>IF(OR(A290="",M290&lt;&gt;"VERIFIED",H290="",K290="",J290&lt;&gt;"FULL"),"",K290-H290)</x:f>
      </x:c>
      <x:c r="AB290" t="str">
        <x:f>IF(OR(A290="",M290&lt;&gt;"VERIFIED",H290="",H290&gt;=L290,J290="FULL",J290="UNASSESSABLE"),"",L290-H290)</x:f>
      </x:c>
      <x:c r="AC290" t="n">
        <x:f>IF(AND(A290&lt;&gt;"",M290="VERIFIED",N290="YES",H290&lt;&gt;"",H290&lt;L290,I290&lt;&gt;"UNASSESSABLE",I290&lt;&gt;"UNREVIEWED",I290&lt;&gt;"NOT_DUE"),1,0)</x:f>
        <x:v>0</x:v>
      </x:c>
      <x:c r="AD290" t="n">
        <x:f>IF(AND(AC290=1,I290="FULL"),1,0)</x:f>
        <x:v>0</x:v>
      </x:c>
      <x:c r="AE290" t="n">
        <x:f>IF(AND(AC290=1,OR(I290="FULL",J290="FULL")),1,0)</x:f>
        <x:v>0</x:v>
      </x:c>
      <x:c r="AF290" s="21"/>
    </x:row>
    <x:row r="291">
      <x:c r="H291" s="21"/>
      <x:c r="K291" s="21"/>
      <x:c r="L291" s="21"/>
      <x:c r="Z291" t="str">
        <x:f>IF(A291="","",IF(M291="EXCLUDED","EXCLUDED",IF(M291&lt;&gt;"VERIFIED","UNREVIEWED",IF(OR(H291="",I291="UNASSESSABLE",J291="UNASSESSABLE"),"UNSCORABLE",IF(H291&gt;=L291,IF(J291="FULL","CORRECT","PENDING"),IF(I291="FULL","CORRECT",IF(J291="FULL","LATE",IF(OR(I291="PARTIAL",J291="PARTIAL"),"PARTIAL","WRONG / MISSED"))))))))</x:f>
      </x:c>
      <x:c r="AA291" t="str">
        <x:f>IF(OR(A291="",M291&lt;&gt;"VERIFIED",H291="",K291="",J291&lt;&gt;"FULL"),"",K291-H291)</x:f>
      </x:c>
      <x:c r="AB291" t="str">
        <x:f>IF(OR(A291="",M291&lt;&gt;"VERIFIED",H291="",H291&gt;=L291,J291="FULL",J291="UNASSESSABLE"),"",L291-H291)</x:f>
      </x:c>
      <x:c r="AC291" t="n">
        <x:f>IF(AND(A291&lt;&gt;"",M291="VERIFIED",N291="YES",H291&lt;&gt;"",H291&lt;L291,I291&lt;&gt;"UNASSESSABLE",I291&lt;&gt;"UNREVIEWED",I291&lt;&gt;"NOT_DUE"),1,0)</x:f>
        <x:v>0</x:v>
      </x:c>
      <x:c r="AD291" t="n">
        <x:f>IF(AND(AC291=1,I291="FULL"),1,0)</x:f>
        <x:v>0</x:v>
      </x:c>
      <x:c r="AE291" t="n">
        <x:f>IF(AND(AC291=1,OR(I291="FULL",J291="FULL")),1,0)</x:f>
        <x:v>0</x:v>
      </x:c>
      <x:c r="AF291" s="21"/>
    </x:row>
    <x:row r="292">
      <x:c r="H292" s="21"/>
      <x:c r="K292" s="21"/>
      <x:c r="L292" s="21"/>
      <x:c r="Z292" t="str">
        <x:f>IF(A292="","",IF(M292="EXCLUDED","EXCLUDED",IF(M292&lt;&gt;"VERIFIED","UNREVIEWED",IF(OR(H292="",I292="UNASSESSABLE",J292="UNASSESSABLE"),"UNSCORABLE",IF(H292&gt;=L292,IF(J292="FULL","CORRECT","PENDING"),IF(I292="FULL","CORRECT",IF(J292="FULL","LATE",IF(OR(I292="PARTIAL",J292="PARTIAL"),"PARTIAL","WRONG / MISSED"))))))))</x:f>
      </x:c>
      <x:c r="AA292" t="str">
        <x:f>IF(OR(A292="",M292&lt;&gt;"VERIFIED",H292="",K292="",J292&lt;&gt;"FULL"),"",K292-H292)</x:f>
      </x:c>
      <x:c r="AB292" t="str">
        <x:f>IF(OR(A292="",M292&lt;&gt;"VERIFIED",H292="",H292&gt;=L292,J292="FULL",J292="UNASSESSABLE"),"",L292-H292)</x:f>
      </x:c>
      <x:c r="AC292" t="n">
        <x:f>IF(AND(A292&lt;&gt;"",M292="VERIFIED",N292="YES",H292&lt;&gt;"",H292&lt;L292,I292&lt;&gt;"UNASSESSABLE",I292&lt;&gt;"UNREVIEWED",I292&lt;&gt;"NOT_DUE"),1,0)</x:f>
        <x:v>0</x:v>
      </x:c>
      <x:c r="AD292" t="n">
        <x:f>IF(AND(AC292=1,I292="FULL"),1,0)</x:f>
        <x:v>0</x:v>
      </x:c>
      <x:c r="AE292" t="n">
        <x:f>IF(AND(AC292=1,OR(I292="FULL",J292="FULL")),1,0)</x:f>
        <x:v>0</x:v>
      </x:c>
      <x:c r="AF292" s="21"/>
    </x:row>
    <x:row r="293">
      <x:c r="H293" s="21"/>
      <x:c r="K293" s="21"/>
      <x:c r="L293" s="21"/>
      <x:c r="Z293" t="str">
        <x:f>IF(A293="","",IF(M293="EXCLUDED","EXCLUDED",IF(M293&lt;&gt;"VERIFIED","UNREVIEWED",IF(OR(H293="",I293="UNASSESSABLE",J293="UNASSESSABLE"),"UNSCORABLE",IF(H293&gt;=L293,IF(J293="FULL","CORRECT","PENDING"),IF(I293="FULL","CORRECT",IF(J293="FULL","LATE",IF(OR(I293="PARTIAL",J293="PARTIAL"),"PARTIAL","WRONG / MISSED"))))))))</x:f>
      </x:c>
      <x:c r="AA293" t="str">
        <x:f>IF(OR(A293="",M293&lt;&gt;"VERIFIED",H293="",K293="",J293&lt;&gt;"FULL"),"",K293-H293)</x:f>
      </x:c>
      <x:c r="AB293" t="str">
        <x:f>IF(OR(A293="",M293&lt;&gt;"VERIFIED",H293="",H293&gt;=L293,J293="FULL",J293="UNASSESSABLE"),"",L293-H293)</x:f>
      </x:c>
      <x:c r="AC293" t="n">
        <x:f>IF(AND(A293&lt;&gt;"",M293="VERIFIED",N293="YES",H293&lt;&gt;"",H293&lt;L293,I293&lt;&gt;"UNASSESSABLE",I293&lt;&gt;"UNREVIEWED",I293&lt;&gt;"NOT_DUE"),1,0)</x:f>
        <x:v>0</x:v>
      </x:c>
      <x:c r="AD293" t="n">
        <x:f>IF(AND(AC293=1,I293="FULL"),1,0)</x:f>
        <x:v>0</x:v>
      </x:c>
      <x:c r="AE293" t="n">
        <x:f>IF(AND(AC293=1,OR(I293="FULL",J293="FULL")),1,0)</x:f>
        <x:v>0</x:v>
      </x:c>
      <x:c r="AF293" s="21"/>
    </x:row>
    <x:row r="294">
      <x:c r="H294" s="21"/>
      <x:c r="K294" s="21"/>
      <x:c r="L294" s="21"/>
      <x:c r="Z294" t="str">
        <x:f>IF(A294="","",IF(M294="EXCLUDED","EXCLUDED",IF(M294&lt;&gt;"VERIFIED","UNREVIEWED",IF(OR(H294="",I294="UNASSESSABLE",J294="UNASSESSABLE"),"UNSCORABLE",IF(H294&gt;=L294,IF(J294="FULL","CORRECT","PENDING"),IF(I294="FULL","CORRECT",IF(J294="FULL","LATE",IF(OR(I294="PARTIAL",J294="PARTIAL"),"PARTIAL","WRONG / MISSED"))))))))</x:f>
      </x:c>
      <x:c r="AA294" t="str">
        <x:f>IF(OR(A294="",M294&lt;&gt;"VERIFIED",H294="",K294="",J294&lt;&gt;"FULL"),"",K294-H294)</x:f>
      </x:c>
      <x:c r="AB294" t="str">
        <x:f>IF(OR(A294="",M294&lt;&gt;"VERIFIED",H294="",H294&gt;=L294,J294="FULL",J294="UNASSESSABLE"),"",L294-H294)</x:f>
      </x:c>
      <x:c r="AC294" t="n">
        <x:f>IF(AND(A294&lt;&gt;"",M294="VERIFIED",N294="YES",H294&lt;&gt;"",H294&lt;L294,I294&lt;&gt;"UNASSESSABLE",I294&lt;&gt;"UNREVIEWED",I294&lt;&gt;"NOT_DUE"),1,0)</x:f>
        <x:v>0</x:v>
      </x:c>
      <x:c r="AD294" t="n">
        <x:f>IF(AND(AC294=1,I294="FULL"),1,0)</x:f>
        <x:v>0</x:v>
      </x:c>
      <x:c r="AE294" t="n">
        <x:f>IF(AND(AC294=1,OR(I294="FULL",J294="FULL")),1,0)</x:f>
        <x:v>0</x:v>
      </x:c>
      <x:c r="AF294" s="21"/>
    </x:row>
    <x:row r="295">
      <x:c r="H295" s="21"/>
      <x:c r="K295" s="21"/>
      <x:c r="L295" s="21"/>
      <x:c r="Z295" t="str">
        <x:f>IF(A295="","",IF(M295="EXCLUDED","EXCLUDED",IF(M295&lt;&gt;"VERIFIED","UNREVIEWED",IF(OR(H295="",I295="UNASSESSABLE",J295="UNASSESSABLE"),"UNSCORABLE",IF(H295&gt;=L295,IF(J295="FULL","CORRECT","PENDING"),IF(I295="FULL","CORRECT",IF(J295="FULL","LATE",IF(OR(I295="PARTIAL",J295="PARTIAL"),"PARTIAL","WRONG / MISSED"))))))))</x:f>
      </x:c>
      <x:c r="AA295" t="str">
        <x:f>IF(OR(A295="",M295&lt;&gt;"VERIFIED",H295="",K295="",J295&lt;&gt;"FULL"),"",K295-H295)</x:f>
      </x:c>
      <x:c r="AB295" t="str">
        <x:f>IF(OR(A295="",M295&lt;&gt;"VERIFIED",H295="",H295&gt;=L295,J295="FULL",J295="UNASSESSABLE"),"",L295-H295)</x:f>
      </x:c>
      <x:c r="AC295" t="n">
        <x:f>IF(AND(A295&lt;&gt;"",M295="VERIFIED",N295="YES",H295&lt;&gt;"",H295&lt;L295,I295&lt;&gt;"UNASSESSABLE",I295&lt;&gt;"UNREVIEWED",I295&lt;&gt;"NOT_DUE"),1,0)</x:f>
        <x:v>0</x:v>
      </x:c>
      <x:c r="AD295" t="n">
        <x:f>IF(AND(AC295=1,I295="FULL"),1,0)</x:f>
        <x:v>0</x:v>
      </x:c>
      <x:c r="AE295" t="n">
        <x:f>IF(AND(AC295=1,OR(I295="FULL",J295="FULL")),1,0)</x:f>
        <x:v>0</x:v>
      </x:c>
      <x:c r="AF295" s="21"/>
    </x:row>
    <x:row r="296">
      <x:c r="H296" s="21"/>
      <x:c r="K296" s="21"/>
      <x:c r="L296" s="21"/>
      <x:c r="Z296" t="str">
        <x:f>IF(A296="","",IF(M296="EXCLUDED","EXCLUDED",IF(M296&lt;&gt;"VERIFIED","UNREVIEWED",IF(OR(H296="",I296="UNASSESSABLE",J296="UNASSESSABLE"),"UNSCORABLE",IF(H296&gt;=L296,IF(J296="FULL","CORRECT","PENDING"),IF(I296="FULL","CORRECT",IF(J296="FULL","LATE",IF(OR(I296="PARTIAL",J296="PARTIAL"),"PARTIAL","WRONG / MISSED"))))))))</x:f>
      </x:c>
      <x:c r="AA296" t="str">
        <x:f>IF(OR(A296="",M296&lt;&gt;"VERIFIED",H296="",K296="",J296&lt;&gt;"FULL"),"",K296-H296)</x:f>
      </x:c>
      <x:c r="AB296" t="str">
        <x:f>IF(OR(A296="",M296&lt;&gt;"VERIFIED",H296="",H296&gt;=L296,J296="FULL",J296="UNASSESSABLE"),"",L296-H296)</x:f>
      </x:c>
      <x:c r="AC296" t="n">
        <x:f>IF(AND(A296&lt;&gt;"",M296="VERIFIED",N296="YES",H296&lt;&gt;"",H296&lt;L296,I296&lt;&gt;"UNASSESSABLE",I296&lt;&gt;"UNREVIEWED",I296&lt;&gt;"NOT_DUE"),1,0)</x:f>
        <x:v>0</x:v>
      </x:c>
      <x:c r="AD296" t="n">
        <x:f>IF(AND(AC296=1,I296="FULL"),1,0)</x:f>
        <x:v>0</x:v>
      </x:c>
      <x:c r="AE296" t="n">
        <x:f>IF(AND(AC296=1,OR(I296="FULL",J296="FULL")),1,0)</x:f>
        <x:v>0</x:v>
      </x:c>
      <x:c r="AF296" s="21"/>
    </x:row>
    <x:row r="297">
      <x:c r="H297" s="21"/>
      <x:c r="K297" s="21"/>
      <x:c r="L297" s="21"/>
      <x:c r="Z297" t="str">
        <x:f>IF(A297="","",IF(M297="EXCLUDED","EXCLUDED",IF(M297&lt;&gt;"VERIFIED","UNREVIEWED",IF(OR(H297="",I297="UNASSESSABLE",J297="UNASSESSABLE"),"UNSCORABLE",IF(H297&gt;=L297,IF(J297="FULL","CORRECT","PENDING"),IF(I297="FULL","CORRECT",IF(J297="FULL","LATE",IF(OR(I297="PARTIAL",J297="PARTIAL"),"PARTIAL","WRONG / MISSED"))))))))</x:f>
      </x:c>
      <x:c r="AA297" t="str">
        <x:f>IF(OR(A297="",M297&lt;&gt;"VERIFIED",H297="",K297="",J297&lt;&gt;"FULL"),"",K297-H297)</x:f>
      </x:c>
      <x:c r="AB297" t="str">
        <x:f>IF(OR(A297="",M297&lt;&gt;"VERIFIED",H297="",H297&gt;=L297,J297="FULL",J297="UNASSESSABLE"),"",L297-H297)</x:f>
      </x:c>
      <x:c r="AC297" t="n">
        <x:f>IF(AND(A297&lt;&gt;"",M297="VERIFIED",N297="YES",H297&lt;&gt;"",H297&lt;L297,I297&lt;&gt;"UNASSESSABLE",I297&lt;&gt;"UNREVIEWED",I297&lt;&gt;"NOT_DUE"),1,0)</x:f>
        <x:v>0</x:v>
      </x:c>
      <x:c r="AD297" t="n">
        <x:f>IF(AND(AC297=1,I297="FULL"),1,0)</x:f>
        <x:v>0</x:v>
      </x:c>
      <x:c r="AE297" t="n">
        <x:f>IF(AND(AC297=1,OR(I297="FULL",J297="FULL")),1,0)</x:f>
        <x:v>0</x:v>
      </x:c>
      <x:c r="AF297" s="21"/>
    </x:row>
    <x:row r="298">
      <x:c r="H298" s="21"/>
      <x:c r="K298" s="21"/>
      <x:c r="L298" s="21"/>
      <x:c r="Z298" t="str">
        <x:f>IF(A298="","",IF(M298="EXCLUDED","EXCLUDED",IF(M298&lt;&gt;"VERIFIED","UNREVIEWED",IF(OR(H298="",I298="UNASSESSABLE",J298="UNASSESSABLE"),"UNSCORABLE",IF(H298&gt;=L298,IF(J298="FULL","CORRECT","PENDING"),IF(I298="FULL","CORRECT",IF(J298="FULL","LATE",IF(OR(I298="PARTIAL",J298="PARTIAL"),"PARTIAL","WRONG / MISSED"))))))))</x:f>
      </x:c>
      <x:c r="AA298" t="str">
        <x:f>IF(OR(A298="",M298&lt;&gt;"VERIFIED",H298="",K298="",J298&lt;&gt;"FULL"),"",K298-H298)</x:f>
      </x:c>
      <x:c r="AB298" t="str">
        <x:f>IF(OR(A298="",M298&lt;&gt;"VERIFIED",H298="",H298&gt;=L298,J298="FULL",J298="UNASSESSABLE"),"",L298-H298)</x:f>
      </x:c>
      <x:c r="AC298" t="n">
        <x:f>IF(AND(A298&lt;&gt;"",M298="VERIFIED",N298="YES",H298&lt;&gt;"",H298&lt;L298,I298&lt;&gt;"UNASSESSABLE",I298&lt;&gt;"UNREVIEWED",I298&lt;&gt;"NOT_DUE"),1,0)</x:f>
        <x:v>0</x:v>
      </x:c>
      <x:c r="AD298" t="n">
        <x:f>IF(AND(AC298=1,I298="FULL"),1,0)</x:f>
        <x:v>0</x:v>
      </x:c>
      <x:c r="AE298" t="n">
        <x:f>IF(AND(AC298=1,OR(I298="FULL",J298="FULL")),1,0)</x:f>
        <x:v>0</x:v>
      </x:c>
      <x:c r="AF298" s="21"/>
    </x:row>
    <x:row r="299">
      <x:c r="H299" s="21"/>
      <x:c r="K299" s="21"/>
      <x:c r="L299" s="21"/>
      <x:c r="Z299" t="str">
        <x:f>IF(A299="","",IF(M299="EXCLUDED","EXCLUDED",IF(M299&lt;&gt;"VERIFIED","UNREVIEWED",IF(OR(H299="",I299="UNASSESSABLE",J299="UNASSESSABLE"),"UNSCORABLE",IF(H299&gt;=L299,IF(J299="FULL","CORRECT","PENDING"),IF(I299="FULL","CORRECT",IF(J299="FULL","LATE",IF(OR(I299="PARTIAL",J299="PARTIAL"),"PARTIAL","WRONG / MISSED"))))))))</x:f>
      </x:c>
      <x:c r="AA299" t="str">
        <x:f>IF(OR(A299="",M299&lt;&gt;"VERIFIED",H299="",K299="",J299&lt;&gt;"FULL"),"",K299-H299)</x:f>
      </x:c>
      <x:c r="AB299" t="str">
        <x:f>IF(OR(A299="",M299&lt;&gt;"VERIFIED",H299="",H299&gt;=L299,J299="FULL",J299="UNASSESSABLE"),"",L299-H299)</x:f>
      </x:c>
      <x:c r="AC299" t="n">
        <x:f>IF(AND(A299&lt;&gt;"",M299="VERIFIED",N299="YES",H299&lt;&gt;"",H299&lt;L299,I299&lt;&gt;"UNASSESSABLE",I299&lt;&gt;"UNREVIEWED",I299&lt;&gt;"NOT_DUE"),1,0)</x:f>
        <x:v>0</x:v>
      </x:c>
      <x:c r="AD299" t="n">
        <x:f>IF(AND(AC299=1,I299="FULL"),1,0)</x:f>
        <x:v>0</x:v>
      </x:c>
      <x:c r="AE299" t="n">
        <x:f>IF(AND(AC299=1,OR(I299="FULL",J299="FULL")),1,0)</x:f>
        <x:v>0</x:v>
      </x:c>
      <x:c r="AF299" s="21"/>
    </x:row>
    <x:row r="300">
      <x:c r="H300" s="21"/>
      <x:c r="K300" s="21"/>
      <x:c r="L300" s="21"/>
      <x:c r="Z300" t="str">
        <x:f>IF(A300="","",IF(M300="EXCLUDED","EXCLUDED",IF(M300&lt;&gt;"VERIFIED","UNREVIEWED",IF(OR(H300="",I300="UNASSESSABLE",J300="UNASSESSABLE"),"UNSCORABLE",IF(H300&gt;=L300,IF(J300="FULL","CORRECT","PENDING"),IF(I300="FULL","CORRECT",IF(J300="FULL","LATE",IF(OR(I300="PARTIAL",J300="PARTIAL"),"PARTIAL","WRONG / MISSED"))))))))</x:f>
      </x:c>
      <x:c r="AA300" t="str">
        <x:f>IF(OR(A300="",M300&lt;&gt;"VERIFIED",H300="",K300="",J300&lt;&gt;"FULL"),"",K300-H300)</x:f>
      </x:c>
      <x:c r="AB300" t="str">
        <x:f>IF(OR(A300="",M300&lt;&gt;"VERIFIED",H300="",H300&gt;=L300,J300="FULL",J300="UNASSESSABLE"),"",L300-H300)</x:f>
      </x:c>
      <x:c r="AC300" t="n">
        <x:f>IF(AND(A300&lt;&gt;"",M300="VERIFIED",N300="YES",H300&lt;&gt;"",H300&lt;L300,I300&lt;&gt;"UNASSESSABLE",I300&lt;&gt;"UNREVIEWED",I300&lt;&gt;"NOT_DUE"),1,0)</x:f>
        <x:v>0</x:v>
      </x:c>
      <x:c r="AD300" t="n">
        <x:f>IF(AND(AC300=1,I300="FULL"),1,0)</x:f>
        <x:v>0</x:v>
      </x:c>
      <x:c r="AE300" t="n">
        <x:f>IF(AND(AC300=1,OR(I300="FULL",J300="FULL")),1,0)</x:f>
        <x:v>0</x:v>
      </x:c>
      <x:c r="AF300" s="21"/>
    </x:row>
    <x:row r="301">
      <x:c r="H301" s="21"/>
      <x:c r="K301" s="21"/>
      <x:c r="L301" s="21"/>
      <x:c r="Z301" t="str">
        <x:f>IF(A301="","",IF(M301="EXCLUDED","EXCLUDED",IF(M301&lt;&gt;"VERIFIED","UNREVIEWED",IF(OR(H301="",I301="UNASSESSABLE",J301="UNASSESSABLE"),"UNSCORABLE",IF(H301&gt;=L301,IF(J301="FULL","CORRECT","PENDING"),IF(I301="FULL","CORRECT",IF(J301="FULL","LATE",IF(OR(I301="PARTIAL",J301="PARTIAL"),"PARTIAL","WRONG / MISSED"))))))))</x:f>
      </x:c>
      <x:c r="AA301" t="str">
        <x:f>IF(OR(A301="",M301&lt;&gt;"VERIFIED",H301="",K301="",J301&lt;&gt;"FULL"),"",K301-H301)</x:f>
      </x:c>
      <x:c r="AB301" t="str">
        <x:f>IF(OR(A301="",M301&lt;&gt;"VERIFIED",H301="",H301&gt;=L301,J301="FULL",J301="UNASSESSABLE"),"",L301-H301)</x:f>
      </x:c>
      <x:c r="AC301" t="n">
        <x:f>IF(AND(A301&lt;&gt;"",M301="VERIFIED",N301="YES",H301&lt;&gt;"",H301&lt;L301,I301&lt;&gt;"UNASSESSABLE",I301&lt;&gt;"UNREVIEWED",I301&lt;&gt;"NOT_DUE"),1,0)</x:f>
        <x:v>0</x:v>
      </x:c>
      <x:c r="AD301" t="n">
        <x:f>IF(AND(AC301=1,I301="FULL"),1,0)</x:f>
        <x:v>0</x:v>
      </x:c>
      <x:c r="AE301" t="n">
        <x:f>IF(AND(AC301=1,OR(I301="FULL",J301="FULL")),1,0)</x:f>
        <x:v>0</x:v>
      </x:c>
      <x:c r="AF301" s="21"/>
    </x:row>
    <x:row r="302">
      <x:c r="H302" s="21"/>
      <x:c r="K302" s="21"/>
      <x:c r="L302" s="21"/>
      <x:c r="Z302" t="str">
        <x:f>IF(A302="","",IF(M302="EXCLUDED","EXCLUDED",IF(M302&lt;&gt;"VERIFIED","UNREVIEWED",IF(OR(H302="",I302="UNASSESSABLE",J302="UNASSESSABLE"),"UNSCORABLE",IF(H302&gt;=L302,IF(J302="FULL","CORRECT","PENDING"),IF(I302="FULL","CORRECT",IF(J302="FULL","LATE",IF(OR(I302="PARTIAL",J302="PARTIAL"),"PARTIAL","WRONG / MISSED"))))))))</x:f>
      </x:c>
      <x:c r="AA302" t="str">
        <x:f>IF(OR(A302="",M302&lt;&gt;"VERIFIED",H302="",K302="",J302&lt;&gt;"FULL"),"",K302-H302)</x:f>
      </x:c>
      <x:c r="AB302" t="str">
        <x:f>IF(OR(A302="",M302&lt;&gt;"VERIFIED",H302="",H302&gt;=L302,J302="FULL",J302="UNASSESSABLE"),"",L302-H302)</x:f>
      </x:c>
      <x:c r="AC302" t="n">
        <x:f>IF(AND(A302&lt;&gt;"",M302="VERIFIED",N302="YES",H302&lt;&gt;"",H302&lt;L302,I302&lt;&gt;"UNASSESSABLE",I302&lt;&gt;"UNREVIEWED",I302&lt;&gt;"NOT_DUE"),1,0)</x:f>
        <x:v>0</x:v>
      </x:c>
      <x:c r="AD302" t="n">
        <x:f>IF(AND(AC302=1,I302="FULL"),1,0)</x:f>
        <x:v>0</x:v>
      </x:c>
      <x:c r="AE302" t="n">
        <x:f>IF(AND(AC302=1,OR(I302="FULL",J302="FULL")),1,0)</x:f>
        <x:v>0</x:v>
      </x:c>
      <x:c r="AF302" s="21"/>
    </x:row>
    <x:row r="303">
      <x:c r="H303" s="21"/>
      <x:c r="K303" s="21"/>
      <x:c r="L303" s="21"/>
      <x:c r="Z303" t="str">
        <x:f>IF(A303="","",IF(M303="EXCLUDED","EXCLUDED",IF(M303&lt;&gt;"VERIFIED","UNREVIEWED",IF(OR(H303="",I303="UNASSESSABLE",J303="UNASSESSABLE"),"UNSCORABLE",IF(H303&gt;=L303,IF(J303="FULL","CORRECT","PENDING"),IF(I303="FULL","CORRECT",IF(J303="FULL","LATE",IF(OR(I303="PARTIAL",J303="PARTIAL"),"PARTIAL","WRONG / MISSED"))))))))</x:f>
      </x:c>
      <x:c r="AA303" t="str">
        <x:f>IF(OR(A303="",M303&lt;&gt;"VERIFIED",H303="",K303="",J303&lt;&gt;"FULL"),"",K303-H303)</x:f>
      </x:c>
      <x:c r="AB303" t="str">
        <x:f>IF(OR(A303="",M303&lt;&gt;"VERIFIED",H303="",H303&gt;=L303,J303="FULL",J303="UNASSESSABLE"),"",L303-H303)</x:f>
      </x:c>
      <x:c r="AC303" t="n">
        <x:f>IF(AND(A303&lt;&gt;"",M303="VERIFIED",N303="YES",H303&lt;&gt;"",H303&lt;L303,I303&lt;&gt;"UNASSESSABLE",I303&lt;&gt;"UNREVIEWED",I303&lt;&gt;"NOT_DUE"),1,0)</x:f>
        <x:v>0</x:v>
      </x:c>
      <x:c r="AD303" t="n">
        <x:f>IF(AND(AC303=1,I303="FULL"),1,0)</x:f>
        <x:v>0</x:v>
      </x:c>
      <x:c r="AE303" t="n">
        <x:f>IF(AND(AC303=1,OR(I303="FULL",J303="FULL")),1,0)</x:f>
        <x:v>0</x:v>
      </x:c>
      <x:c r="AF303" s="21"/>
    </x:row>
    <x:row r="304">
      <x:c r="H304" s="21"/>
      <x:c r="K304" s="21"/>
      <x:c r="L304" s="21"/>
      <x:c r="Z304" t="str">
        <x:f>IF(A304="","",IF(M304="EXCLUDED","EXCLUDED",IF(M304&lt;&gt;"VERIFIED","UNREVIEWED",IF(OR(H304="",I304="UNASSESSABLE",J304="UNASSESSABLE"),"UNSCORABLE",IF(H304&gt;=L304,IF(J304="FULL","CORRECT","PENDING"),IF(I304="FULL","CORRECT",IF(J304="FULL","LATE",IF(OR(I304="PARTIAL",J304="PARTIAL"),"PARTIAL","WRONG / MISSED"))))))))</x:f>
      </x:c>
      <x:c r="AA304" t="str">
        <x:f>IF(OR(A304="",M304&lt;&gt;"VERIFIED",H304="",K304="",J304&lt;&gt;"FULL"),"",K304-H304)</x:f>
      </x:c>
      <x:c r="AB304" t="str">
        <x:f>IF(OR(A304="",M304&lt;&gt;"VERIFIED",H304="",H304&gt;=L304,J304="FULL",J304="UNASSESSABLE"),"",L304-H304)</x:f>
      </x:c>
      <x:c r="AC304" t="n">
        <x:f>IF(AND(A304&lt;&gt;"",M304="VERIFIED",N304="YES",H304&lt;&gt;"",H304&lt;L304,I304&lt;&gt;"UNASSESSABLE",I304&lt;&gt;"UNREVIEWED",I304&lt;&gt;"NOT_DUE"),1,0)</x:f>
        <x:v>0</x:v>
      </x:c>
      <x:c r="AD304" t="n">
        <x:f>IF(AND(AC304=1,I304="FULL"),1,0)</x:f>
        <x:v>0</x:v>
      </x:c>
      <x:c r="AE304" t="n">
        <x:f>IF(AND(AC304=1,OR(I304="FULL",J304="FULL")),1,0)</x:f>
        <x:v>0</x:v>
      </x:c>
      <x:c r="AF304" s="21"/>
    </x:row>
    <x:row r="305">
      <x:c r="H305" s="21"/>
      <x:c r="K305" s="21"/>
      <x:c r="L305" s="21"/>
      <x:c r="Z305" t="str">
        <x:f>IF(A305="","",IF(M305="EXCLUDED","EXCLUDED",IF(M305&lt;&gt;"VERIFIED","UNREVIEWED",IF(OR(H305="",I305="UNASSESSABLE",J305="UNASSESSABLE"),"UNSCORABLE",IF(H305&gt;=L305,IF(J305="FULL","CORRECT","PENDING"),IF(I305="FULL","CORRECT",IF(J305="FULL","LATE",IF(OR(I305="PARTIAL",J305="PARTIAL"),"PARTIAL","WRONG / MISSED"))))))))</x:f>
      </x:c>
      <x:c r="AA305" t="str">
        <x:f>IF(OR(A305="",M305&lt;&gt;"VERIFIED",H305="",K305="",J305&lt;&gt;"FULL"),"",K305-H305)</x:f>
      </x:c>
      <x:c r="AB305" t="str">
        <x:f>IF(OR(A305="",M305&lt;&gt;"VERIFIED",H305="",H305&gt;=L305,J305="FULL",J305="UNASSESSABLE"),"",L305-H305)</x:f>
      </x:c>
      <x:c r="AC305" t="n">
        <x:f>IF(AND(A305&lt;&gt;"",M305="VERIFIED",N305="YES",H305&lt;&gt;"",H305&lt;L305,I305&lt;&gt;"UNASSESSABLE",I305&lt;&gt;"UNREVIEWED",I305&lt;&gt;"NOT_DUE"),1,0)</x:f>
        <x:v>0</x:v>
      </x:c>
      <x:c r="AD305" t="n">
        <x:f>IF(AND(AC305=1,I305="FULL"),1,0)</x:f>
        <x:v>0</x:v>
      </x:c>
      <x:c r="AE305" t="n">
        <x:f>IF(AND(AC305=1,OR(I305="FULL",J305="FULL")),1,0)</x:f>
        <x:v>0</x:v>
      </x:c>
      <x:c r="AF305" s="21"/>
    </x:row>
    <x:row r="306">
      <x:c r="H306" s="21"/>
      <x:c r="K306" s="21"/>
      <x:c r="L306" s="21"/>
      <x:c r="Z306" t="str">
        <x:f>IF(A306="","",IF(M306="EXCLUDED","EXCLUDED",IF(M306&lt;&gt;"VERIFIED","UNREVIEWED",IF(OR(H306="",I306="UNASSESSABLE",J306="UNASSESSABLE"),"UNSCORABLE",IF(H306&gt;=L306,IF(J306="FULL","CORRECT","PENDING"),IF(I306="FULL","CORRECT",IF(J306="FULL","LATE",IF(OR(I306="PARTIAL",J306="PARTIAL"),"PARTIAL","WRONG / MISSED"))))))))</x:f>
      </x:c>
      <x:c r="AA306" t="str">
        <x:f>IF(OR(A306="",M306&lt;&gt;"VERIFIED",H306="",K306="",J306&lt;&gt;"FULL"),"",K306-H306)</x:f>
      </x:c>
      <x:c r="AB306" t="str">
        <x:f>IF(OR(A306="",M306&lt;&gt;"VERIFIED",H306="",H306&gt;=L306,J306="FULL",J306="UNASSESSABLE"),"",L306-H306)</x:f>
      </x:c>
      <x:c r="AC306" t="n">
        <x:f>IF(AND(A306&lt;&gt;"",M306="VERIFIED",N306="YES",H306&lt;&gt;"",H306&lt;L306,I306&lt;&gt;"UNASSESSABLE",I306&lt;&gt;"UNREVIEWED",I306&lt;&gt;"NOT_DUE"),1,0)</x:f>
        <x:v>0</x:v>
      </x:c>
      <x:c r="AD306" t="n">
        <x:f>IF(AND(AC306=1,I306="FULL"),1,0)</x:f>
        <x:v>0</x:v>
      </x:c>
      <x:c r="AE306" t="n">
        <x:f>IF(AND(AC306=1,OR(I306="FULL",J306="FULL")),1,0)</x:f>
        <x:v>0</x:v>
      </x:c>
      <x:c r="AF306" s="21"/>
    </x:row>
    <x:row r="307">
      <x:c r="H307" s="21"/>
      <x:c r="K307" s="21"/>
      <x:c r="L307" s="21"/>
      <x:c r="Z307" t="str">
        <x:f>IF(A307="","",IF(M307="EXCLUDED","EXCLUDED",IF(M307&lt;&gt;"VERIFIED","UNREVIEWED",IF(OR(H307="",I307="UNASSESSABLE",J307="UNASSESSABLE"),"UNSCORABLE",IF(H307&gt;=L307,IF(J307="FULL","CORRECT","PENDING"),IF(I307="FULL","CORRECT",IF(J307="FULL","LATE",IF(OR(I307="PARTIAL",J307="PARTIAL"),"PARTIAL","WRONG / MISSED"))))))))</x:f>
      </x:c>
      <x:c r="AA307" t="str">
        <x:f>IF(OR(A307="",M307&lt;&gt;"VERIFIED",H307="",K307="",J307&lt;&gt;"FULL"),"",K307-H307)</x:f>
      </x:c>
      <x:c r="AB307" t="str">
        <x:f>IF(OR(A307="",M307&lt;&gt;"VERIFIED",H307="",H307&gt;=L307,J307="FULL",J307="UNASSESSABLE"),"",L307-H307)</x:f>
      </x:c>
      <x:c r="AC307" t="n">
        <x:f>IF(AND(A307&lt;&gt;"",M307="VERIFIED",N307="YES",H307&lt;&gt;"",H307&lt;L307,I307&lt;&gt;"UNASSESSABLE",I307&lt;&gt;"UNREVIEWED",I307&lt;&gt;"NOT_DUE"),1,0)</x:f>
        <x:v>0</x:v>
      </x:c>
      <x:c r="AD307" t="n">
        <x:f>IF(AND(AC307=1,I307="FULL"),1,0)</x:f>
        <x:v>0</x:v>
      </x:c>
      <x:c r="AE307" t="n">
        <x:f>IF(AND(AC307=1,OR(I307="FULL",J307="FULL")),1,0)</x:f>
        <x:v>0</x:v>
      </x:c>
      <x:c r="AF307" s="21"/>
    </x:row>
    <x:row r="308">
      <x:c r="H308" s="21"/>
      <x:c r="K308" s="21"/>
      <x:c r="L308" s="21"/>
      <x:c r="Z308" t="str">
        <x:f>IF(A308="","",IF(M308="EXCLUDED","EXCLUDED",IF(M308&lt;&gt;"VERIFIED","UNREVIEWED",IF(OR(H308="",I308="UNASSESSABLE",J308="UNASSESSABLE"),"UNSCORABLE",IF(H308&gt;=L308,IF(J308="FULL","CORRECT","PENDING"),IF(I308="FULL","CORRECT",IF(J308="FULL","LATE",IF(OR(I308="PARTIAL",J308="PARTIAL"),"PARTIAL","WRONG / MISSED"))))))))</x:f>
      </x:c>
      <x:c r="AA308" t="str">
        <x:f>IF(OR(A308="",M308&lt;&gt;"VERIFIED",H308="",K308="",J308&lt;&gt;"FULL"),"",K308-H308)</x:f>
      </x:c>
      <x:c r="AB308" t="str">
        <x:f>IF(OR(A308="",M308&lt;&gt;"VERIFIED",H308="",H308&gt;=L308,J308="FULL",J308="UNASSESSABLE"),"",L308-H308)</x:f>
      </x:c>
      <x:c r="AC308" t="n">
        <x:f>IF(AND(A308&lt;&gt;"",M308="VERIFIED",N308="YES",H308&lt;&gt;"",H308&lt;L308,I308&lt;&gt;"UNASSESSABLE",I308&lt;&gt;"UNREVIEWED",I308&lt;&gt;"NOT_DUE"),1,0)</x:f>
        <x:v>0</x:v>
      </x:c>
      <x:c r="AD308" t="n">
        <x:f>IF(AND(AC308=1,I308="FULL"),1,0)</x:f>
        <x:v>0</x:v>
      </x:c>
      <x:c r="AE308" t="n">
        <x:f>IF(AND(AC308=1,OR(I308="FULL",J308="FULL")),1,0)</x:f>
        <x:v>0</x:v>
      </x:c>
      <x:c r="AF308" s="21"/>
    </x:row>
    <x:row r="309">
      <x:c r="H309" s="21"/>
      <x:c r="K309" s="21"/>
      <x:c r="L309" s="21"/>
      <x:c r="Z309" t="str">
        <x:f>IF(A309="","",IF(M309="EXCLUDED","EXCLUDED",IF(M309&lt;&gt;"VERIFIED","UNREVIEWED",IF(OR(H309="",I309="UNASSESSABLE",J309="UNASSESSABLE"),"UNSCORABLE",IF(H309&gt;=L309,IF(J309="FULL","CORRECT","PENDING"),IF(I309="FULL","CORRECT",IF(J309="FULL","LATE",IF(OR(I309="PARTIAL",J309="PARTIAL"),"PARTIAL","WRONG / MISSED"))))))))</x:f>
      </x:c>
      <x:c r="AA309" t="str">
        <x:f>IF(OR(A309="",M309&lt;&gt;"VERIFIED",H309="",K309="",J309&lt;&gt;"FULL"),"",K309-H309)</x:f>
      </x:c>
      <x:c r="AB309" t="str">
        <x:f>IF(OR(A309="",M309&lt;&gt;"VERIFIED",H309="",H309&gt;=L309,J309="FULL",J309="UNASSESSABLE"),"",L309-H309)</x:f>
      </x:c>
      <x:c r="AC309" t="n">
        <x:f>IF(AND(A309&lt;&gt;"",M309="VERIFIED",N309="YES",H309&lt;&gt;"",H309&lt;L309,I309&lt;&gt;"UNASSESSABLE",I309&lt;&gt;"UNREVIEWED",I309&lt;&gt;"NOT_DUE"),1,0)</x:f>
        <x:v>0</x:v>
      </x:c>
      <x:c r="AD309" t="n">
        <x:f>IF(AND(AC309=1,I309="FULL"),1,0)</x:f>
        <x:v>0</x:v>
      </x:c>
      <x:c r="AE309" t="n">
        <x:f>IF(AND(AC309=1,OR(I309="FULL",J309="FULL")),1,0)</x:f>
        <x:v>0</x:v>
      </x:c>
      <x:c r="AF309" s="21"/>
    </x:row>
    <x:row r="310">
      <x:c r="H310" s="21"/>
      <x:c r="K310" s="21"/>
      <x:c r="L310" s="21"/>
      <x:c r="Z310" t="str">
        <x:f>IF(A310="","",IF(M310="EXCLUDED","EXCLUDED",IF(M310&lt;&gt;"VERIFIED","UNREVIEWED",IF(OR(H310="",I310="UNASSESSABLE",J310="UNASSESSABLE"),"UNSCORABLE",IF(H310&gt;=L310,IF(J310="FULL","CORRECT","PENDING"),IF(I310="FULL","CORRECT",IF(J310="FULL","LATE",IF(OR(I310="PARTIAL",J310="PARTIAL"),"PARTIAL","WRONG / MISSED"))))))))</x:f>
      </x:c>
      <x:c r="AA310" t="str">
        <x:f>IF(OR(A310="",M310&lt;&gt;"VERIFIED",H310="",K310="",J310&lt;&gt;"FULL"),"",K310-H310)</x:f>
      </x:c>
      <x:c r="AB310" t="str">
        <x:f>IF(OR(A310="",M310&lt;&gt;"VERIFIED",H310="",H310&gt;=L310,J310="FULL",J310="UNASSESSABLE"),"",L310-H310)</x:f>
      </x:c>
      <x:c r="AC310" t="n">
        <x:f>IF(AND(A310&lt;&gt;"",M310="VERIFIED",N310="YES",H310&lt;&gt;"",H310&lt;L310,I310&lt;&gt;"UNASSESSABLE",I310&lt;&gt;"UNREVIEWED",I310&lt;&gt;"NOT_DUE"),1,0)</x:f>
        <x:v>0</x:v>
      </x:c>
      <x:c r="AD310" t="n">
        <x:f>IF(AND(AC310=1,I310="FULL"),1,0)</x:f>
        <x:v>0</x:v>
      </x:c>
      <x:c r="AE310" t="n">
        <x:f>IF(AND(AC310=1,OR(I310="FULL",J310="FULL")),1,0)</x:f>
        <x:v>0</x:v>
      </x:c>
      <x:c r="AF310" s="21"/>
    </x:row>
    <x:row r="311">
      <x:c r="H311" s="21"/>
      <x:c r="K311" s="21"/>
      <x:c r="L311" s="21"/>
      <x:c r="Z311" t="str">
        <x:f>IF(A311="","",IF(M311="EXCLUDED","EXCLUDED",IF(M311&lt;&gt;"VERIFIED","UNREVIEWED",IF(OR(H311="",I311="UNASSESSABLE",J311="UNASSESSABLE"),"UNSCORABLE",IF(H311&gt;=L311,IF(J311="FULL","CORRECT","PENDING"),IF(I311="FULL","CORRECT",IF(J311="FULL","LATE",IF(OR(I311="PARTIAL",J311="PARTIAL"),"PARTIAL","WRONG / MISSED"))))))))</x:f>
      </x:c>
      <x:c r="AA311" t="str">
        <x:f>IF(OR(A311="",M311&lt;&gt;"VERIFIED",H311="",K311="",J311&lt;&gt;"FULL"),"",K311-H311)</x:f>
      </x:c>
      <x:c r="AB311" t="str">
        <x:f>IF(OR(A311="",M311&lt;&gt;"VERIFIED",H311="",H311&gt;=L311,J311="FULL",J311="UNASSESSABLE"),"",L311-H311)</x:f>
      </x:c>
      <x:c r="AC311" t="n">
        <x:f>IF(AND(A311&lt;&gt;"",M311="VERIFIED",N311="YES",H311&lt;&gt;"",H311&lt;L311,I311&lt;&gt;"UNASSESSABLE",I311&lt;&gt;"UNREVIEWED",I311&lt;&gt;"NOT_DUE"),1,0)</x:f>
        <x:v>0</x:v>
      </x:c>
      <x:c r="AD311" t="n">
        <x:f>IF(AND(AC311=1,I311="FULL"),1,0)</x:f>
        <x:v>0</x:v>
      </x:c>
      <x:c r="AE311" t="n">
        <x:f>IF(AND(AC311=1,OR(I311="FULL",J311="FULL")),1,0)</x:f>
        <x:v>0</x:v>
      </x:c>
      <x:c r="AF311" s="21"/>
    </x:row>
    <x:row r="312">
      <x:c r="H312" s="21"/>
      <x:c r="K312" s="21"/>
      <x:c r="L312" s="21"/>
      <x:c r="Z312" t="str">
        <x:f>IF(A312="","",IF(M312="EXCLUDED","EXCLUDED",IF(M312&lt;&gt;"VERIFIED","UNREVIEWED",IF(OR(H312="",I312="UNASSESSABLE",J312="UNASSESSABLE"),"UNSCORABLE",IF(H312&gt;=L312,IF(J312="FULL","CORRECT","PENDING"),IF(I312="FULL","CORRECT",IF(J312="FULL","LATE",IF(OR(I312="PARTIAL",J312="PARTIAL"),"PARTIAL","WRONG / MISSED"))))))))</x:f>
      </x:c>
      <x:c r="AA312" t="str">
        <x:f>IF(OR(A312="",M312&lt;&gt;"VERIFIED",H312="",K312="",J312&lt;&gt;"FULL"),"",K312-H312)</x:f>
      </x:c>
      <x:c r="AB312" t="str">
        <x:f>IF(OR(A312="",M312&lt;&gt;"VERIFIED",H312="",H312&gt;=L312,J312="FULL",J312="UNASSESSABLE"),"",L312-H312)</x:f>
      </x:c>
      <x:c r="AC312" t="n">
        <x:f>IF(AND(A312&lt;&gt;"",M312="VERIFIED",N312="YES",H312&lt;&gt;"",H312&lt;L312,I312&lt;&gt;"UNASSESSABLE",I312&lt;&gt;"UNREVIEWED",I312&lt;&gt;"NOT_DUE"),1,0)</x:f>
        <x:v>0</x:v>
      </x:c>
      <x:c r="AD312" t="n">
        <x:f>IF(AND(AC312=1,I312="FULL"),1,0)</x:f>
        <x:v>0</x:v>
      </x:c>
      <x:c r="AE312" t="n">
        <x:f>IF(AND(AC312=1,OR(I312="FULL",J312="FULL")),1,0)</x:f>
        <x:v>0</x:v>
      </x:c>
      <x:c r="AF312" s="21"/>
    </x:row>
    <x:row r="313">
      <x:c r="H313" s="21"/>
      <x:c r="K313" s="21"/>
      <x:c r="L313" s="21"/>
      <x:c r="Z313" t="str">
        <x:f>IF(A313="","",IF(M313="EXCLUDED","EXCLUDED",IF(M313&lt;&gt;"VERIFIED","UNREVIEWED",IF(OR(H313="",I313="UNASSESSABLE",J313="UNASSESSABLE"),"UNSCORABLE",IF(H313&gt;=L313,IF(J313="FULL","CORRECT","PENDING"),IF(I313="FULL","CORRECT",IF(J313="FULL","LATE",IF(OR(I313="PARTIAL",J313="PARTIAL"),"PARTIAL","WRONG / MISSED"))))))))</x:f>
      </x:c>
      <x:c r="AA313" t="str">
        <x:f>IF(OR(A313="",M313&lt;&gt;"VERIFIED",H313="",K313="",J313&lt;&gt;"FULL"),"",K313-H313)</x:f>
      </x:c>
      <x:c r="AB313" t="str">
        <x:f>IF(OR(A313="",M313&lt;&gt;"VERIFIED",H313="",H313&gt;=L313,J313="FULL",J313="UNASSESSABLE"),"",L313-H313)</x:f>
      </x:c>
      <x:c r="AC313" t="n">
        <x:f>IF(AND(A313&lt;&gt;"",M313="VERIFIED",N313="YES",H313&lt;&gt;"",H313&lt;L313,I313&lt;&gt;"UNASSESSABLE",I313&lt;&gt;"UNREVIEWED",I313&lt;&gt;"NOT_DUE"),1,0)</x:f>
        <x:v>0</x:v>
      </x:c>
      <x:c r="AD313" t="n">
        <x:f>IF(AND(AC313=1,I313="FULL"),1,0)</x:f>
        <x:v>0</x:v>
      </x:c>
      <x:c r="AE313" t="n">
        <x:f>IF(AND(AC313=1,OR(I313="FULL",J313="FULL")),1,0)</x:f>
        <x:v>0</x:v>
      </x:c>
      <x:c r="AF313" s="21"/>
    </x:row>
    <x:row r="314">
      <x:c r="H314" s="21"/>
      <x:c r="K314" s="21"/>
      <x:c r="L314" s="21"/>
      <x:c r="Z314" t="str">
        <x:f>IF(A314="","",IF(M314="EXCLUDED","EXCLUDED",IF(M314&lt;&gt;"VERIFIED","UNREVIEWED",IF(OR(H314="",I314="UNASSESSABLE",J314="UNASSESSABLE"),"UNSCORABLE",IF(H314&gt;=L314,IF(J314="FULL","CORRECT","PENDING"),IF(I314="FULL","CORRECT",IF(J314="FULL","LATE",IF(OR(I314="PARTIAL",J314="PARTIAL"),"PARTIAL","WRONG / MISSED"))))))))</x:f>
      </x:c>
      <x:c r="AA314" t="str">
        <x:f>IF(OR(A314="",M314&lt;&gt;"VERIFIED",H314="",K314="",J314&lt;&gt;"FULL"),"",K314-H314)</x:f>
      </x:c>
      <x:c r="AB314" t="str">
        <x:f>IF(OR(A314="",M314&lt;&gt;"VERIFIED",H314="",H314&gt;=L314,J314="FULL",J314="UNASSESSABLE"),"",L314-H314)</x:f>
      </x:c>
      <x:c r="AC314" t="n">
        <x:f>IF(AND(A314&lt;&gt;"",M314="VERIFIED",N314="YES",H314&lt;&gt;"",H314&lt;L314,I314&lt;&gt;"UNASSESSABLE",I314&lt;&gt;"UNREVIEWED",I314&lt;&gt;"NOT_DUE"),1,0)</x:f>
        <x:v>0</x:v>
      </x:c>
      <x:c r="AD314" t="n">
        <x:f>IF(AND(AC314=1,I314="FULL"),1,0)</x:f>
        <x:v>0</x:v>
      </x:c>
      <x:c r="AE314" t="n">
        <x:f>IF(AND(AC314=1,OR(I314="FULL",J314="FULL")),1,0)</x:f>
        <x:v>0</x:v>
      </x:c>
      <x:c r="AF314" s="21"/>
    </x:row>
    <x:row r="315">
      <x:c r="H315" s="21"/>
      <x:c r="K315" s="21"/>
      <x:c r="L315" s="21"/>
      <x:c r="Z315" t="str">
        <x:f>IF(A315="","",IF(M315="EXCLUDED","EXCLUDED",IF(M315&lt;&gt;"VERIFIED","UNREVIEWED",IF(OR(H315="",I315="UNASSESSABLE",J315="UNASSESSABLE"),"UNSCORABLE",IF(H315&gt;=L315,IF(J315="FULL","CORRECT","PENDING"),IF(I315="FULL","CORRECT",IF(J315="FULL","LATE",IF(OR(I315="PARTIAL",J315="PARTIAL"),"PARTIAL","WRONG / MISSED"))))))))</x:f>
      </x:c>
      <x:c r="AA315" t="str">
        <x:f>IF(OR(A315="",M315&lt;&gt;"VERIFIED",H315="",K315="",J315&lt;&gt;"FULL"),"",K315-H315)</x:f>
      </x:c>
      <x:c r="AB315" t="str">
        <x:f>IF(OR(A315="",M315&lt;&gt;"VERIFIED",H315="",H315&gt;=L315,J315="FULL",J315="UNASSESSABLE"),"",L315-H315)</x:f>
      </x:c>
      <x:c r="AC315" t="n">
        <x:f>IF(AND(A315&lt;&gt;"",M315="VERIFIED",N315="YES",H315&lt;&gt;"",H315&lt;L315,I315&lt;&gt;"UNASSESSABLE",I315&lt;&gt;"UNREVIEWED",I315&lt;&gt;"NOT_DUE"),1,0)</x:f>
        <x:v>0</x:v>
      </x:c>
      <x:c r="AD315" t="n">
        <x:f>IF(AND(AC315=1,I315="FULL"),1,0)</x:f>
        <x:v>0</x:v>
      </x:c>
      <x:c r="AE315" t="n">
        <x:f>IF(AND(AC315=1,OR(I315="FULL",J315="FULL")),1,0)</x:f>
        <x:v>0</x:v>
      </x:c>
      <x:c r="AF315" s="21"/>
    </x:row>
    <x:row r="316">
      <x:c r="H316" s="21"/>
      <x:c r="K316" s="21"/>
      <x:c r="L316" s="21"/>
      <x:c r="Z316" t="str">
        <x:f>IF(A316="","",IF(M316="EXCLUDED","EXCLUDED",IF(M316&lt;&gt;"VERIFIED","UNREVIEWED",IF(OR(H316="",I316="UNASSESSABLE",J316="UNASSESSABLE"),"UNSCORABLE",IF(H316&gt;=L316,IF(J316="FULL","CORRECT","PENDING"),IF(I316="FULL","CORRECT",IF(J316="FULL","LATE",IF(OR(I316="PARTIAL",J316="PARTIAL"),"PARTIAL","WRONG / MISSED"))))))))</x:f>
      </x:c>
      <x:c r="AA316" t="str">
        <x:f>IF(OR(A316="",M316&lt;&gt;"VERIFIED",H316="",K316="",J316&lt;&gt;"FULL"),"",K316-H316)</x:f>
      </x:c>
      <x:c r="AB316" t="str">
        <x:f>IF(OR(A316="",M316&lt;&gt;"VERIFIED",H316="",H316&gt;=L316,J316="FULL",J316="UNASSESSABLE"),"",L316-H316)</x:f>
      </x:c>
      <x:c r="AC316" t="n">
        <x:f>IF(AND(A316&lt;&gt;"",M316="VERIFIED",N316="YES",H316&lt;&gt;"",H316&lt;L316,I316&lt;&gt;"UNASSESSABLE",I316&lt;&gt;"UNREVIEWED",I316&lt;&gt;"NOT_DUE"),1,0)</x:f>
        <x:v>0</x:v>
      </x:c>
      <x:c r="AD316" t="n">
        <x:f>IF(AND(AC316=1,I316="FULL"),1,0)</x:f>
        <x:v>0</x:v>
      </x:c>
      <x:c r="AE316" t="n">
        <x:f>IF(AND(AC316=1,OR(I316="FULL",J316="FULL")),1,0)</x:f>
        <x:v>0</x:v>
      </x:c>
      <x:c r="AF316" s="21"/>
    </x:row>
    <x:row r="317">
      <x:c r="H317" s="21"/>
      <x:c r="K317" s="21"/>
      <x:c r="L317" s="21"/>
      <x:c r="Z317" t="str">
        <x:f>IF(A317="","",IF(M317="EXCLUDED","EXCLUDED",IF(M317&lt;&gt;"VERIFIED","UNREVIEWED",IF(OR(H317="",I317="UNASSESSABLE",J317="UNASSESSABLE"),"UNSCORABLE",IF(H317&gt;=L317,IF(J317="FULL","CORRECT","PENDING"),IF(I317="FULL","CORRECT",IF(J317="FULL","LATE",IF(OR(I317="PARTIAL",J317="PARTIAL"),"PARTIAL","WRONG / MISSED"))))))))</x:f>
      </x:c>
      <x:c r="AA317" t="str">
        <x:f>IF(OR(A317="",M317&lt;&gt;"VERIFIED",H317="",K317="",J317&lt;&gt;"FULL"),"",K317-H317)</x:f>
      </x:c>
      <x:c r="AB317" t="str">
        <x:f>IF(OR(A317="",M317&lt;&gt;"VERIFIED",H317="",H317&gt;=L317,J317="FULL",J317="UNASSESSABLE"),"",L317-H317)</x:f>
      </x:c>
      <x:c r="AC317" t="n">
        <x:f>IF(AND(A317&lt;&gt;"",M317="VERIFIED",N317="YES",H317&lt;&gt;"",H317&lt;L317,I317&lt;&gt;"UNASSESSABLE",I317&lt;&gt;"UNREVIEWED",I317&lt;&gt;"NOT_DUE"),1,0)</x:f>
        <x:v>0</x:v>
      </x:c>
      <x:c r="AD317" t="n">
        <x:f>IF(AND(AC317=1,I317="FULL"),1,0)</x:f>
        <x:v>0</x:v>
      </x:c>
      <x:c r="AE317" t="n">
        <x:f>IF(AND(AC317=1,OR(I317="FULL",J317="FULL")),1,0)</x:f>
        <x:v>0</x:v>
      </x:c>
      <x:c r="AF317" s="21"/>
    </x:row>
    <x:row r="318">
      <x:c r="H318" s="21"/>
      <x:c r="K318" s="21"/>
      <x:c r="L318" s="21"/>
      <x:c r="Z318" t="str">
        <x:f>IF(A318="","",IF(M318="EXCLUDED","EXCLUDED",IF(M318&lt;&gt;"VERIFIED","UNREVIEWED",IF(OR(H318="",I318="UNASSESSABLE",J318="UNASSESSABLE"),"UNSCORABLE",IF(H318&gt;=L318,IF(J318="FULL","CORRECT","PENDING"),IF(I318="FULL","CORRECT",IF(J318="FULL","LATE",IF(OR(I318="PARTIAL",J318="PARTIAL"),"PARTIAL","WRONG / MISSED"))))))))</x:f>
      </x:c>
      <x:c r="AA318" t="str">
        <x:f>IF(OR(A318="",M318&lt;&gt;"VERIFIED",H318="",K318="",J318&lt;&gt;"FULL"),"",K318-H318)</x:f>
      </x:c>
      <x:c r="AB318" t="str">
        <x:f>IF(OR(A318="",M318&lt;&gt;"VERIFIED",H318="",H318&gt;=L318,J318="FULL",J318="UNASSESSABLE"),"",L318-H318)</x:f>
      </x:c>
      <x:c r="AC318" t="n">
        <x:f>IF(AND(A318&lt;&gt;"",M318="VERIFIED",N318="YES",H318&lt;&gt;"",H318&lt;L318,I318&lt;&gt;"UNASSESSABLE",I318&lt;&gt;"UNREVIEWED",I318&lt;&gt;"NOT_DUE"),1,0)</x:f>
        <x:v>0</x:v>
      </x:c>
      <x:c r="AD318" t="n">
        <x:f>IF(AND(AC318=1,I318="FULL"),1,0)</x:f>
        <x:v>0</x:v>
      </x:c>
      <x:c r="AE318" t="n">
        <x:f>IF(AND(AC318=1,OR(I318="FULL",J318="FULL")),1,0)</x:f>
        <x:v>0</x:v>
      </x:c>
      <x:c r="AF318" s="21"/>
    </x:row>
    <x:row r="319">
      <x:c r="H319" s="21"/>
      <x:c r="K319" s="21"/>
      <x:c r="L319" s="21"/>
      <x:c r="Z319" t="str">
        <x:f>IF(A319="","",IF(M319="EXCLUDED","EXCLUDED",IF(M319&lt;&gt;"VERIFIED","UNREVIEWED",IF(OR(H319="",I319="UNASSESSABLE",J319="UNASSESSABLE"),"UNSCORABLE",IF(H319&gt;=L319,IF(J319="FULL","CORRECT","PENDING"),IF(I319="FULL","CORRECT",IF(J319="FULL","LATE",IF(OR(I319="PARTIAL",J319="PARTIAL"),"PARTIAL","WRONG / MISSED"))))))))</x:f>
      </x:c>
      <x:c r="AA319" t="str">
        <x:f>IF(OR(A319="",M319&lt;&gt;"VERIFIED",H319="",K319="",J319&lt;&gt;"FULL"),"",K319-H319)</x:f>
      </x:c>
      <x:c r="AB319" t="str">
        <x:f>IF(OR(A319="",M319&lt;&gt;"VERIFIED",H319="",H319&gt;=L319,J319="FULL",J319="UNASSESSABLE"),"",L319-H319)</x:f>
      </x:c>
      <x:c r="AC319" t="n">
        <x:f>IF(AND(A319&lt;&gt;"",M319="VERIFIED",N319="YES",H319&lt;&gt;"",H319&lt;L319,I319&lt;&gt;"UNASSESSABLE",I319&lt;&gt;"UNREVIEWED",I319&lt;&gt;"NOT_DUE"),1,0)</x:f>
        <x:v>0</x:v>
      </x:c>
      <x:c r="AD319" t="n">
        <x:f>IF(AND(AC319=1,I319="FULL"),1,0)</x:f>
        <x:v>0</x:v>
      </x:c>
      <x:c r="AE319" t="n">
        <x:f>IF(AND(AC319=1,OR(I319="FULL",J319="FULL")),1,0)</x:f>
        <x:v>0</x:v>
      </x:c>
      <x:c r="AF319" s="21"/>
    </x:row>
    <x:row r="320">
      <x:c r="H320" s="21"/>
      <x:c r="K320" s="21"/>
      <x:c r="L320" s="21"/>
      <x:c r="Z320" t="str">
        <x:f>IF(A320="","",IF(M320="EXCLUDED","EXCLUDED",IF(M320&lt;&gt;"VERIFIED","UNREVIEWED",IF(OR(H320="",I320="UNASSESSABLE",J320="UNASSESSABLE"),"UNSCORABLE",IF(H320&gt;=L320,IF(J320="FULL","CORRECT","PENDING"),IF(I320="FULL","CORRECT",IF(J320="FULL","LATE",IF(OR(I320="PARTIAL",J320="PARTIAL"),"PARTIAL","WRONG / MISSED"))))))))</x:f>
      </x:c>
      <x:c r="AA320" t="str">
        <x:f>IF(OR(A320="",M320&lt;&gt;"VERIFIED",H320="",K320="",J320&lt;&gt;"FULL"),"",K320-H320)</x:f>
      </x:c>
      <x:c r="AB320" t="str">
        <x:f>IF(OR(A320="",M320&lt;&gt;"VERIFIED",H320="",H320&gt;=L320,J320="FULL",J320="UNASSESSABLE"),"",L320-H320)</x:f>
      </x:c>
      <x:c r="AC320" t="n">
        <x:f>IF(AND(A320&lt;&gt;"",M320="VERIFIED",N320="YES",H320&lt;&gt;"",H320&lt;L320,I320&lt;&gt;"UNASSESSABLE",I320&lt;&gt;"UNREVIEWED",I320&lt;&gt;"NOT_DUE"),1,0)</x:f>
        <x:v>0</x:v>
      </x:c>
      <x:c r="AD320" t="n">
        <x:f>IF(AND(AC320=1,I320="FULL"),1,0)</x:f>
        <x:v>0</x:v>
      </x:c>
      <x:c r="AE320" t="n">
        <x:f>IF(AND(AC320=1,OR(I320="FULL",J320="FULL")),1,0)</x:f>
        <x:v>0</x:v>
      </x:c>
      <x:c r="AF320" s="21"/>
    </x:row>
    <x:row r="321">
      <x:c r="H321" s="21"/>
      <x:c r="K321" s="21"/>
      <x:c r="L321" s="21"/>
      <x:c r="Z321" t="str">
        <x:f>IF(A321="","",IF(M321="EXCLUDED","EXCLUDED",IF(M321&lt;&gt;"VERIFIED","UNREVIEWED",IF(OR(H321="",I321="UNASSESSABLE",J321="UNASSESSABLE"),"UNSCORABLE",IF(H321&gt;=L321,IF(J321="FULL","CORRECT","PENDING"),IF(I321="FULL","CORRECT",IF(J321="FULL","LATE",IF(OR(I321="PARTIAL",J321="PARTIAL"),"PARTIAL","WRONG / MISSED"))))))))</x:f>
      </x:c>
      <x:c r="AA321" t="str">
        <x:f>IF(OR(A321="",M321&lt;&gt;"VERIFIED",H321="",K321="",J321&lt;&gt;"FULL"),"",K321-H321)</x:f>
      </x:c>
      <x:c r="AB321" t="str">
        <x:f>IF(OR(A321="",M321&lt;&gt;"VERIFIED",H321="",H321&gt;=L321,J321="FULL",J321="UNASSESSABLE"),"",L321-H321)</x:f>
      </x:c>
      <x:c r="AC321" t="n">
        <x:f>IF(AND(A321&lt;&gt;"",M321="VERIFIED",N321="YES",H321&lt;&gt;"",H321&lt;L321,I321&lt;&gt;"UNASSESSABLE",I321&lt;&gt;"UNREVIEWED",I321&lt;&gt;"NOT_DUE"),1,0)</x:f>
        <x:v>0</x:v>
      </x:c>
      <x:c r="AD321" t="n">
        <x:f>IF(AND(AC321=1,I321="FULL"),1,0)</x:f>
        <x:v>0</x:v>
      </x:c>
      <x:c r="AE321" t="n">
        <x:f>IF(AND(AC321=1,OR(I321="FULL",J321="FULL")),1,0)</x:f>
        <x:v>0</x:v>
      </x:c>
      <x:c r="AF321" s="21"/>
    </x:row>
    <x:row r="322">
      <x:c r="H322" s="21"/>
      <x:c r="K322" s="21"/>
      <x:c r="L322" s="21"/>
      <x:c r="Z322" t="str">
        <x:f>IF(A322="","",IF(M322="EXCLUDED","EXCLUDED",IF(M322&lt;&gt;"VERIFIED","UNREVIEWED",IF(OR(H322="",I322="UNASSESSABLE",J322="UNASSESSABLE"),"UNSCORABLE",IF(H322&gt;=L322,IF(J322="FULL","CORRECT","PENDING"),IF(I322="FULL","CORRECT",IF(J322="FULL","LATE",IF(OR(I322="PARTIAL",J322="PARTIAL"),"PARTIAL","WRONG / MISSED"))))))))</x:f>
      </x:c>
      <x:c r="AA322" t="str">
        <x:f>IF(OR(A322="",M322&lt;&gt;"VERIFIED",H322="",K322="",J322&lt;&gt;"FULL"),"",K322-H322)</x:f>
      </x:c>
      <x:c r="AB322" t="str">
        <x:f>IF(OR(A322="",M322&lt;&gt;"VERIFIED",H322="",H322&gt;=L322,J322="FULL",J322="UNASSESSABLE"),"",L322-H322)</x:f>
      </x:c>
      <x:c r="AC322" t="n">
        <x:f>IF(AND(A322&lt;&gt;"",M322="VERIFIED",N322="YES",H322&lt;&gt;"",H322&lt;L322,I322&lt;&gt;"UNASSESSABLE",I322&lt;&gt;"UNREVIEWED",I322&lt;&gt;"NOT_DUE"),1,0)</x:f>
        <x:v>0</x:v>
      </x:c>
      <x:c r="AD322" t="n">
        <x:f>IF(AND(AC322=1,I322="FULL"),1,0)</x:f>
        <x:v>0</x:v>
      </x:c>
      <x:c r="AE322" t="n">
        <x:f>IF(AND(AC322=1,OR(I322="FULL",J322="FULL")),1,0)</x:f>
        <x:v>0</x:v>
      </x:c>
      <x:c r="AF322" s="21"/>
    </x:row>
    <x:row r="323">
      <x:c r="H323" s="21"/>
      <x:c r="K323" s="21"/>
      <x:c r="L323" s="21"/>
      <x:c r="Z323" t="str">
        <x:f>IF(A323="","",IF(M323="EXCLUDED","EXCLUDED",IF(M323&lt;&gt;"VERIFIED","UNREVIEWED",IF(OR(H323="",I323="UNASSESSABLE",J323="UNASSESSABLE"),"UNSCORABLE",IF(H323&gt;=L323,IF(J323="FULL","CORRECT","PENDING"),IF(I323="FULL","CORRECT",IF(J323="FULL","LATE",IF(OR(I323="PARTIAL",J323="PARTIAL"),"PARTIAL","WRONG / MISSED"))))))))</x:f>
      </x:c>
      <x:c r="AA323" t="str">
        <x:f>IF(OR(A323="",M323&lt;&gt;"VERIFIED",H323="",K323="",J323&lt;&gt;"FULL"),"",K323-H323)</x:f>
      </x:c>
      <x:c r="AB323" t="str">
        <x:f>IF(OR(A323="",M323&lt;&gt;"VERIFIED",H323="",H323&gt;=L323,J323="FULL",J323="UNASSESSABLE"),"",L323-H323)</x:f>
      </x:c>
      <x:c r="AC323" t="n">
        <x:f>IF(AND(A323&lt;&gt;"",M323="VERIFIED",N323="YES",H323&lt;&gt;"",H323&lt;L323,I323&lt;&gt;"UNASSESSABLE",I323&lt;&gt;"UNREVIEWED",I323&lt;&gt;"NOT_DUE"),1,0)</x:f>
        <x:v>0</x:v>
      </x:c>
      <x:c r="AD323" t="n">
        <x:f>IF(AND(AC323=1,I323="FULL"),1,0)</x:f>
        <x:v>0</x:v>
      </x:c>
      <x:c r="AE323" t="n">
        <x:f>IF(AND(AC323=1,OR(I323="FULL",J323="FULL")),1,0)</x:f>
        <x:v>0</x:v>
      </x:c>
      <x:c r="AF323" s="21"/>
    </x:row>
    <x:row r="324">
      <x:c r="H324" s="21"/>
      <x:c r="K324" s="21"/>
      <x:c r="L324" s="21"/>
      <x:c r="Z324" t="str">
        <x:f>IF(A324="","",IF(M324="EXCLUDED","EXCLUDED",IF(M324&lt;&gt;"VERIFIED","UNREVIEWED",IF(OR(H324="",I324="UNASSESSABLE",J324="UNASSESSABLE"),"UNSCORABLE",IF(H324&gt;=L324,IF(J324="FULL","CORRECT","PENDING"),IF(I324="FULL","CORRECT",IF(J324="FULL","LATE",IF(OR(I324="PARTIAL",J324="PARTIAL"),"PARTIAL","WRONG / MISSED"))))))))</x:f>
      </x:c>
      <x:c r="AA324" t="str">
        <x:f>IF(OR(A324="",M324&lt;&gt;"VERIFIED",H324="",K324="",J324&lt;&gt;"FULL"),"",K324-H324)</x:f>
      </x:c>
      <x:c r="AB324" t="str">
        <x:f>IF(OR(A324="",M324&lt;&gt;"VERIFIED",H324="",H324&gt;=L324,J324="FULL",J324="UNASSESSABLE"),"",L324-H324)</x:f>
      </x:c>
      <x:c r="AC324" t="n">
        <x:f>IF(AND(A324&lt;&gt;"",M324="VERIFIED",N324="YES",H324&lt;&gt;"",H324&lt;L324,I324&lt;&gt;"UNASSESSABLE",I324&lt;&gt;"UNREVIEWED",I324&lt;&gt;"NOT_DUE"),1,0)</x:f>
        <x:v>0</x:v>
      </x:c>
      <x:c r="AD324" t="n">
        <x:f>IF(AND(AC324=1,I324="FULL"),1,0)</x:f>
        <x:v>0</x:v>
      </x:c>
      <x:c r="AE324" t="n">
        <x:f>IF(AND(AC324=1,OR(I324="FULL",J324="FULL")),1,0)</x:f>
        <x:v>0</x:v>
      </x:c>
      <x:c r="AF324" s="21"/>
    </x:row>
    <x:row r="325">
      <x:c r="H325" s="21"/>
      <x:c r="K325" s="21"/>
      <x:c r="L325" s="21"/>
      <x:c r="Z325" t="str">
        <x:f>IF(A325="","",IF(M325="EXCLUDED","EXCLUDED",IF(M325&lt;&gt;"VERIFIED","UNREVIEWED",IF(OR(H325="",I325="UNASSESSABLE",J325="UNASSESSABLE"),"UNSCORABLE",IF(H325&gt;=L325,IF(J325="FULL","CORRECT","PENDING"),IF(I325="FULL","CORRECT",IF(J325="FULL","LATE",IF(OR(I325="PARTIAL",J325="PARTIAL"),"PARTIAL","WRONG / MISSED"))))))))</x:f>
      </x:c>
      <x:c r="AA325" t="str">
        <x:f>IF(OR(A325="",M325&lt;&gt;"VERIFIED",H325="",K325="",J325&lt;&gt;"FULL"),"",K325-H325)</x:f>
      </x:c>
      <x:c r="AB325" t="str">
        <x:f>IF(OR(A325="",M325&lt;&gt;"VERIFIED",H325="",H325&gt;=L325,J325="FULL",J325="UNASSESSABLE"),"",L325-H325)</x:f>
      </x:c>
      <x:c r="AC325" t="n">
        <x:f>IF(AND(A325&lt;&gt;"",M325="VERIFIED",N325="YES",H325&lt;&gt;"",H325&lt;L325,I325&lt;&gt;"UNASSESSABLE",I325&lt;&gt;"UNREVIEWED",I325&lt;&gt;"NOT_DUE"),1,0)</x:f>
        <x:v>0</x:v>
      </x:c>
      <x:c r="AD325" t="n">
        <x:f>IF(AND(AC325=1,I325="FULL"),1,0)</x:f>
        <x:v>0</x:v>
      </x:c>
      <x:c r="AE325" t="n">
        <x:f>IF(AND(AC325=1,OR(I325="FULL",J325="FULL")),1,0)</x:f>
        <x:v>0</x:v>
      </x:c>
      <x:c r="AF325" s="21"/>
    </x:row>
    <x:row r="326">
      <x:c r="H326" s="21"/>
      <x:c r="K326" s="21"/>
      <x:c r="L326" s="21"/>
      <x:c r="Z326" t="str">
        <x:f>IF(A326="","",IF(M326="EXCLUDED","EXCLUDED",IF(M326&lt;&gt;"VERIFIED","UNREVIEWED",IF(OR(H326="",I326="UNASSESSABLE",J326="UNASSESSABLE"),"UNSCORABLE",IF(H326&gt;=L326,IF(J326="FULL","CORRECT","PENDING"),IF(I326="FULL","CORRECT",IF(J326="FULL","LATE",IF(OR(I326="PARTIAL",J326="PARTIAL"),"PARTIAL","WRONG / MISSED"))))))))</x:f>
      </x:c>
      <x:c r="AA326" t="str">
        <x:f>IF(OR(A326="",M326&lt;&gt;"VERIFIED",H326="",K326="",J326&lt;&gt;"FULL"),"",K326-H326)</x:f>
      </x:c>
      <x:c r="AB326" t="str">
        <x:f>IF(OR(A326="",M326&lt;&gt;"VERIFIED",H326="",H326&gt;=L326,J326="FULL",J326="UNASSESSABLE"),"",L326-H326)</x:f>
      </x:c>
      <x:c r="AC326" t="n">
        <x:f>IF(AND(A326&lt;&gt;"",M326="VERIFIED",N326="YES",H326&lt;&gt;"",H326&lt;L326,I326&lt;&gt;"UNASSESSABLE",I326&lt;&gt;"UNREVIEWED",I326&lt;&gt;"NOT_DUE"),1,0)</x:f>
        <x:v>0</x:v>
      </x:c>
      <x:c r="AD326" t="n">
        <x:f>IF(AND(AC326=1,I326="FULL"),1,0)</x:f>
        <x:v>0</x:v>
      </x:c>
      <x:c r="AE326" t="n">
        <x:f>IF(AND(AC326=1,OR(I326="FULL",J326="FULL")),1,0)</x:f>
        <x:v>0</x:v>
      </x:c>
      <x:c r="AF326" s="21"/>
    </x:row>
    <x:row r="327">
      <x:c r="H327" s="21"/>
      <x:c r="K327" s="21"/>
      <x:c r="L327" s="21"/>
      <x:c r="Z327" t="str">
        <x:f>IF(A327="","",IF(M327="EXCLUDED","EXCLUDED",IF(M327&lt;&gt;"VERIFIED","UNREVIEWED",IF(OR(H327="",I327="UNASSESSABLE",J327="UNASSESSABLE"),"UNSCORABLE",IF(H327&gt;=L327,IF(J327="FULL","CORRECT","PENDING"),IF(I327="FULL","CORRECT",IF(J327="FULL","LATE",IF(OR(I327="PARTIAL",J327="PARTIAL"),"PARTIAL","WRONG / MISSED"))))))))</x:f>
      </x:c>
      <x:c r="AA327" t="str">
        <x:f>IF(OR(A327="",M327&lt;&gt;"VERIFIED",H327="",K327="",J327&lt;&gt;"FULL"),"",K327-H327)</x:f>
      </x:c>
      <x:c r="AB327" t="str">
        <x:f>IF(OR(A327="",M327&lt;&gt;"VERIFIED",H327="",H327&gt;=L327,J327="FULL",J327="UNASSESSABLE"),"",L327-H327)</x:f>
      </x:c>
      <x:c r="AC327" t="n">
        <x:f>IF(AND(A327&lt;&gt;"",M327="VERIFIED",N327="YES",H327&lt;&gt;"",H327&lt;L327,I327&lt;&gt;"UNASSESSABLE",I327&lt;&gt;"UNREVIEWED",I327&lt;&gt;"NOT_DUE"),1,0)</x:f>
        <x:v>0</x:v>
      </x:c>
      <x:c r="AD327" t="n">
        <x:f>IF(AND(AC327=1,I327="FULL"),1,0)</x:f>
        <x:v>0</x:v>
      </x:c>
      <x:c r="AE327" t="n">
        <x:f>IF(AND(AC327=1,OR(I327="FULL",J327="FULL")),1,0)</x:f>
        <x:v>0</x:v>
      </x:c>
      <x:c r="AF327" s="21"/>
    </x:row>
    <x:row r="328">
      <x:c r="H328" s="21"/>
      <x:c r="K328" s="21"/>
      <x:c r="L328" s="21"/>
      <x:c r="Z328" t="str">
        <x:f>IF(A328="","",IF(M328="EXCLUDED","EXCLUDED",IF(M328&lt;&gt;"VERIFIED","UNREVIEWED",IF(OR(H328="",I328="UNASSESSABLE",J328="UNASSESSABLE"),"UNSCORABLE",IF(H328&gt;=L328,IF(J328="FULL","CORRECT","PENDING"),IF(I328="FULL","CORRECT",IF(J328="FULL","LATE",IF(OR(I328="PARTIAL",J328="PARTIAL"),"PARTIAL","WRONG / MISSED"))))))))</x:f>
      </x:c>
      <x:c r="AA328" t="str">
        <x:f>IF(OR(A328="",M328&lt;&gt;"VERIFIED",H328="",K328="",J328&lt;&gt;"FULL"),"",K328-H328)</x:f>
      </x:c>
      <x:c r="AB328" t="str">
        <x:f>IF(OR(A328="",M328&lt;&gt;"VERIFIED",H328="",H328&gt;=L328,J328="FULL",J328="UNASSESSABLE"),"",L328-H328)</x:f>
      </x:c>
      <x:c r="AC328" t="n">
        <x:f>IF(AND(A328&lt;&gt;"",M328="VERIFIED",N328="YES",H328&lt;&gt;"",H328&lt;L328,I328&lt;&gt;"UNASSESSABLE",I328&lt;&gt;"UNREVIEWED",I328&lt;&gt;"NOT_DUE"),1,0)</x:f>
        <x:v>0</x:v>
      </x:c>
      <x:c r="AD328" t="n">
        <x:f>IF(AND(AC328=1,I328="FULL"),1,0)</x:f>
        <x:v>0</x:v>
      </x:c>
      <x:c r="AE328" t="n">
        <x:f>IF(AND(AC328=1,OR(I328="FULL",J328="FULL")),1,0)</x:f>
        <x:v>0</x:v>
      </x:c>
      <x:c r="AF328" s="21"/>
    </x:row>
    <x:row r="329">
      <x:c r="H329" s="21"/>
      <x:c r="K329" s="21"/>
      <x:c r="L329" s="21"/>
      <x:c r="Z329" t="str">
        <x:f>IF(A329="","",IF(M329="EXCLUDED","EXCLUDED",IF(M329&lt;&gt;"VERIFIED","UNREVIEWED",IF(OR(H329="",I329="UNASSESSABLE",J329="UNASSESSABLE"),"UNSCORABLE",IF(H329&gt;=L329,IF(J329="FULL","CORRECT","PENDING"),IF(I329="FULL","CORRECT",IF(J329="FULL","LATE",IF(OR(I329="PARTIAL",J329="PARTIAL"),"PARTIAL","WRONG / MISSED"))))))))</x:f>
      </x:c>
      <x:c r="AA329" t="str">
        <x:f>IF(OR(A329="",M329&lt;&gt;"VERIFIED",H329="",K329="",J329&lt;&gt;"FULL"),"",K329-H329)</x:f>
      </x:c>
      <x:c r="AB329" t="str">
        <x:f>IF(OR(A329="",M329&lt;&gt;"VERIFIED",H329="",H329&gt;=L329,J329="FULL",J329="UNASSESSABLE"),"",L329-H329)</x:f>
      </x:c>
      <x:c r="AC329" t="n">
        <x:f>IF(AND(A329&lt;&gt;"",M329="VERIFIED",N329="YES",H329&lt;&gt;"",H329&lt;L329,I329&lt;&gt;"UNASSESSABLE",I329&lt;&gt;"UNREVIEWED",I329&lt;&gt;"NOT_DUE"),1,0)</x:f>
        <x:v>0</x:v>
      </x:c>
      <x:c r="AD329" t="n">
        <x:f>IF(AND(AC329=1,I329="FULL"),1,0)</x:f>
        <x:v>0</x:v>
      </x:c>
      <x:c r="AE329" t="n">
        <x:f>IF(AND(AC329=1,OR(I329="FULL",J329="FULL")),1,0)</x:f>
        <x:v>0</x:v>
      </x:c>
      <x:c r="AF329" s="21"/>
    </x:row>
    <x:row r="330">
      <x:c r="H330" s="21"/>
      <x:c r="K330" s="21"/>
      <x:c r="L330" s="21"/>
      <x:c r="Z330" t="str">
        <x:f>IF(A330="","",IF(M330="EXCLUDED","EXCLUDED",IF(M330&lt;&gt;"VERIFIED","UNREVIEWED",IF(OR(H330="",I330="UNASSESSABLE",J330="UNASSESSABLE"),"UNSCORABLE",IF(H330&gt;=L330,IF(J330="FULL","CORRECT","PENDING"),IF(I330="FULL","CORRECT",IF(J330="FULL","LATE",IF(OR(I330="PARTIAL",J330="PARTIAL"),"PARTIAL","WRONG / MISSED"))))))))</x:f>
      </x:c>
      <x:c r="AA330" t="str">
        <x:f>IF(OR(A330="",M330&lt;&gt;"VERIFIED",H330="",K330="",J330&lt;&gt;"FULL"),"",K330-H330)</x:f>
      </x:c>
      <x:c r="AB330" t="str">
        <x:f>IF(OR(A330="",M330&lt;&gt;"VERIFIED",H330="",H330&gt;=L330,J330="FULL",J330="UNASSESSABLE"),"",L330-H330)</x:f>
      </x:c>
      <x:c r="AC330" t="n">
        <x:f>IF(AND(A330&lt;&gt;"",M330="VERIFIED",N330="YES",H330&lt;&gt;"",H330&lt;L330,I330&lt;&gt;"UNASSESSABLE",I330&lt;&gt;"UNREVIEWED",I330&lt;&gt;"NOT_DUE"),1,0)</x:f>
        <x:v>0</x:v>
      </x:c>
      <x:c r="AD330" t="n">
        <x:f>IF(AND(AC330=1,I330="FULL"),1,0)</x:f>
        <x:v>0</x:v>
      </x:c>
      <x:c r="AE330" t="n">
        <x:f>IF(AND(AC330=1,OR(I330="FULL",J330="FULL")),1,0)</x:f>
        <x:v>0</x:v>
      </x:c>
      <x:c r="AF330" s="21"/>
    </x:row>
    <x:row r="331">
      <x:c r="H331" s="21"/>
      <x:c r="K331" s="21"/>
      <x:c r="L331" s="21"/>
      <x:c r="Z331" t="str">
        <x:f>IF(A331="","",IF(M331="EXCLUDED","EXCLUDED",IF(M331&lt;&gt;"VERIFIED","UNREVIEWED",IF(OR(H331="",I331="UNASSESSABLE",J331="UNASSESSABLE"),"UNSCORABLE",IF(H331&gt;=L331,IF(J331="FULL","CORRECT","PENDING"),IF(I331="FULL","CORRECT",IF(J331="FULL","LATE",IF(OR(I331="PARTIAL",J331="PARTIAL"),"PARTIAL","WRONG / MISSED"))))))))</x:f>
      </x:c>
      <x:c r="AA331" t="str">
        <x:f>IF(OR(A331="",M331&lt;&gt;"VERIFIED",H331="",K331="",J331&lt;&gt;"FULL"),"",K331-H331)</x:f>
      </x:c>
      <x:c r="AB331" t="str">
        <x:f>IF(OR(A331="",M331&lt;&gt;"VERIFIED",H331="",H331&gt;=L331,J331="FULL",J331="UNASSESSABLE"),"",L331-H331)</x:f>
      </x:c>
      <x:c r="AC331" t="n">
        <x:f>IF(AND(A331&lt;&gt;"",M331="VERIFIED",N331="YES",H331&lt;&gt;"",H331&lt;L331,I331&lt;&gt;"UNASSESSABLE",I331&lt;&gt;"UNREVIEWED",I331&lt;&gt;"NOT_DUE"),1,0)</x:f>
        <x:v>0</x:v>
      </x:c>
      <x:c r="AD331" t="n">
        <x:f>IF(AND(AC331=1,I331="FULL"),1,0)</x:f>
        <x:v>0</x:v>
      </x:c>
      <x:c r="AE331" t="n">
        <x:f>IF(AND(AC331=1,OR(I331="FULL",J331="FULL")),1,0)</x:f>
        <x:v>0</x:v>
      </x:c>
      <x:c r="AF331" s="21"/>
    </x:row>
    <x:row r="332">
      <x:c r="H332" s="21"/>
      <x:c r="K332" s="21"/>
      <x:c r="L332" s="21"/>
      <x:c r="Z332" t="str">
        <x:f>IF(A332="","",IF(M332="EXCLUDED","EXCLUDED",IF(M332&lt;&gt;"VERIFIED","UNREVIEWED",IF(OR(H332="",I332="UNASSESSABLE",J332="UNASSESSABLE"),"UNSCORABLE",IF(H332&gt;=L332,IF(J332="FULL","CORRECT","PENDING"),IF(I332="FULL","CORRECT",IF(J332="FULL","LATE",IF(OR(I332="PARTIAL",J332="PARTIAL"),"PARTIAL","WRONG / MISSED"))))))))</x:f>
      </x:c>
      <x:c r="AA332" t="str">
        <x:f>IF(OR(A332="",M332&lt;&gt;"VERIFIED",H332="",K332="",J332&lt;&gt;"FULL"),"",K332-H332)</x:f>
      </x:c>
      <x:c r="AB332" t="str">
        <x:f>IF(OR(A332="",M332&lt;&gt;"VERIFIED",H332="",H332&gt;=L332,J332="FULL",J332="UNASSESSABLE"),"",L332-H332)</x:f>
      </x:c>
      <x:c r="AC332" t="n">
        <x:f>IF(AND(A332&lt;&gt;"",M332="VERIFIED",N332="YES",H332&lt;&gt;"",H332&lt;L332,I332&lt;&gt;"UNASSESSABLE",I332&lt;&gt;"UNREVIEWED",I332&lt;&gt;"NOT_DUE"),1,0)</x:f>
        <x:v>0</x:v>
      </x:c>
      <x:c r="AD332" t="n">
        <x:f>IF(AND(AC332=1,I332="FULL"),1,0)</x:f>
        <x:v>0</x:v>
      </x:c>
      <x:c r="AE332" t="n">
        <x:f>IF(AND(AC332=1,OR(I332="FULL",J332="FULL")),1,0)</x:f>
        <x:v>0</x:v>
      </x:c>
      <x:c r="AF332" s="21"/>
    </x:row>
    <x:row r="333">
      <x:c r="H333" s="21"/>
      <x:c r="K333" s="21"/>
      <x:c r="L333" s="21"/>
      <x:c r="Z333" t="str">
        <x:f>IF(A333="","",IF(M333="EXCLUDED","EXCLUDED",IF(M333&lt;&gt;"VERIFIED","UNREVIEWED",IF(OR(H333="",I333="UNASSESSABLE",J333="UNASSESSABLE"),"UNSCORABLE",IF(H333&gt;=L333,IF(J333="FULL","CORRECT","PENDING"),IF(I333="FULL","CORRECT",IF(J333="FULL","LATE",IF(OR(I333="PARTIAL",J333="PARTIAL"),"PARTIAL","WRONG / MISSED"))))))))</x:f>
      </x:c>
      <x:c r="AA333" t="str">
        <x:f>IF(OR(A333="",M333&lt;&gt;"VERIFIED",H333="",K333="",J333&lt;&gt;"FULL"),"",K333-H333)</x:f>
      </x:c>
      <x:c r="AB333" t="str">
        <x:f>IF(OR(A333="",M333&lt;&gt;"VERIFIED",H333="",H333&gt;=L333,J333="FULL",J333="UNASSESSABLE"),"",L333-H333)</x:f>
      </x:c>
      <x:c r="AC333" t="n">
        <x:f>IF(AND(A333&lt;&gt;"",M333="VERIFIED",N333="YES",H333&lt;&gt;"",H333&lt;L333,I333&lt;&gt;"UNASSESSABLE",I333&lt;&gt;"UNREVIEWED",I333&lt;&gt;"NOT_DUE"),1,0)</x:f>
        <x:v>0</x:v>
      </x:c>
      <x:c r="AD333" t="n">
        <x:f>IF(AND(AC333=1,I333="FULL"),1,0)</x:f>
        <x:v>0</x:v>
      </x:c>
      <x:c r="AE333" t="n">
        <x:f>IF(AND(AC333=1,OR(I333="FULL",J333="FULL")),1,0)</x:f>
        <x:v>0</x:v>
      </x:c>
      <x:c r="AF333" s="21"/>
    </x:row>
    <x:row r="334">
      <x:c r="H334" s="21"/>
      <x:c r="K334" s="21"/>
      <x:c r="L334" s="21"/>
      <x:c r="Z334" t="str">
        <x:f>IF(A334="","",IF(M334="EXCLUDED","EXCLUDED",IF(M334&lt;&gt;"VERIFIED","UNREVIEWED",IF(OR(H334="",I334="UNASSESSABLE",J334="UNASSESSABLE"),"UNSCORABLE",IF(H334&gt;=L334,IF(J334="FULL","CORRECT","PENDING"),IF(I334="FULL","CORRECT",IF(J334="FULL","LATE",IF(OR(I334="PARTIAL",J334="PARTIAL"),"PARTIAL","WRONG / MISSED"))))))))</x:f>
      </x:c>
      <x:c r="AA334" t="str">
        <x:f>IF(OR(A334="",M334&lt;&gt;"VERIFIED",H334="",K334="",J334&lt;&gt;"FULL"),"",K334-H334)</x:f>
      </x:c>
      <x:c r="AB334" t="str">
        <x:f>IF(OR(A334="",M334&lt;&gt;"VERIFIED",H334="",H334&gt;=L334,J334="FULL",J334="UNASSESSABLE"),"",L334-H334)</x:f>
      </x:c>
      <x:c r="AC334" t="n">
        <x:f>IF(AND(A334&lt;&gt;"",M334="VERIFIED",N334="YES",H334&lt;&gt;"",H334&lt;L334,I334&lt;&gt;"UNASSESSABLE",I334&lt;&gt;"UNREVIEWED",I334&lt;&gt;"NOT_DUE"),1,0)</x:f>
        <x:v>0</x:v>
      </x:c>
      <x:c r="AD334" t="n">
        <x:f>IF(AND(AC334=1,I334="FULL"),1,0)</x:f>
        <x:v>0</x:v>
      </x:c>
      <x:c r="AE334" t="n">
        <x:f>IF(AND(AC334=1,OR(I334="FULL",J334="FULL")),1,0)</x:f>
        <x:v>0</x:v>
      </x:c>
      <x:c r="AF334" s="21"/>
    </x:row>
    <x:row r="335">
      <x:c r="H335" s="21"/>
      <x:c r="K335" s="21"/>
      <x:c r="L335" s="21"/>
      <x:c r="Z335" t="str">
        <x:f>IF(A335="","",IF(M335="EXCLUDED","EXCLUDED",IF(M335&lt;&gt;"VERIFIED","UNREVIEWED",IF(OR(H335="",I335="UNASSESSABLE",J335="UNASSESSABLE"),"UNSCORABLE",IF(H335&gt;=L335,IF(J335="FULL","CORRECT","PENDING"),IF(I335="FULL","CORRECT",IF(J335="FULL","LATE",IF(OR(I335="PARTIAL",J335="PARTIAL"),"PARTIAL","WRONG / MISSED"))))))))</x:f>
      </x:c>
      <x:c r="AA335" t="str">
        <x:f>IF(OR(A335="",M335&lt;&gt;"VERIFIED",H335="",K335="",J335&lt;&gt;"FULL"),"",K335-H335)</x:f>
      </x:c>
      <x:c r="AB335" t="str">
        <x:f>IF(OR(A335="",M335&lt;&gt;"VERIFIED",H335="",H335&gt;=L335,J335="FULL",J335="UNASSESSABLE"),"",L335-H335)</x:f>
      </x:c>
      <x:c r="AC335" t="n">
        <x:f>IF(AND(A335&lt;&gt;"",M335="VERIFIED",N335="YES",H335&lt;&gt;"",H335&lt;L335,I335&lt;&gt;"UNASSESSABLE",I335&lt;&gt;"UNREVIEWED",I335&lt;&gt;"NOT_DUE"),1,0)</x:f>
        <x:v>0</x:v>
      </x:c>
      <x:c r="AD335" t="n">
        <x:f>IF(AND(AC335=1,I335="FULL"),1,0)</x:f>
        <x:v>0</x:v>
      </x:c>
      <x:c r="AE335" t="n">
        <x:f>IF(AND(AC335=1,OR(I335="FULL",J335="FULL")),1,0)</x:f>
        <x:v>0</x:v>
      </x:c>
      <x:c r="AF335" s="21"/>
    </x:row>
    <x:row r="336">
      <x:c r="H336" s="21"/>
      <x:c r="K336" s="21"/>
      <x:c r="L336" s="21"/>
      <x:c r="Z336" t="str">
        <x:f>IF(A336="","",IF(M336="EXCLUDED","EXCLUDED",IF(M336&lt;&gt;"VERIFIED","UNREVIEWED",IF(OR(H336="",I336="UNASSESSABLE",J336="UNASSESSABLE"),"UNSCORABLE",IF(H336&gt;=L336,IF(J336="FULL","CORRECT","PENDING"),IF(I336="FULL","CORRECT",IF(J336="FULL","LATE",IF(OR(I336="PARTIAL",J336="PARTIAL"),"PARTIAL","WRONG / MISSED"))))))))</x:f>
      </x:c>
      <x:c r="AA336" t="str">
        <x:f>IF(OR(A336="",M336&lt;&gt;"VERIFIED",H336="",K336="",J336&lt;&gt;"FULL"),"",K336-H336)</x:f>
      </x:c>
      <x:c r="AB336" t="str">
        <x:f>IF(OR(A336="",M336&lt;&gt;"VERIFIED",H336="",H336&gt;=L336,J336="FULL",J336="UNASSESSABLE"),"",L336-H336)</x:f>
      </x:c>
      <x:c r="AC336" t="n">
        <x:f>IF(AND(A336&lt;&gt;"",M336="VERIFIED",N336="YES",H336&lt;&gt;"",H336&lt;L336,I336&lt;&gt;"UNASSESSABLE",I336&lt;&gt;"UNREVIEWED",I336&lt;&gt;"NOT_DUE"),1,0)</x:f>
        <x:v>0</x:v>
      </x:c>
      <x:c r="AD336" t="n">
        <x:f>IF(AND(AC336=1,I336="FULL"),1,0)</x:f>
        <x:v>0</x:v>
      </x:c>
      <x:c r="AE336" t="n">
        <x:f>IF(AND(AC336=1,OR(I336="FULL",J336="FULL")),1,0)</x:f>
        <x:v>0</x:v>
      </x:c>
      <x:c r="AF336" s="21"/>
    </x:row>
    <x:row r="337">
      <x:c r="H337" s="21"/>
      <x:c r="K337" s="21"/>
      <x:c r="L337" s="21"/>
      <x:c r="Z337" t="str">
        <x:f>IF(A337="","",IF(M337="EXCLUDED","EXCLUDED",IF(M337&lt;&gt;"VERIFIED","UNREVIEWED",IF(OR(H337="",I337="UNASSESSABLE",J337="UNASSESSABLE"),"UNSCORABLE",IF(H337&gt;=L337,IF(J337="FULL","CORRECT","PENDING"),IF(I337="FULL","CORRECT",IF(J337="FULL","LATE",IF(OR(I337="PARTIAL",J337="PARTIAL"),"PARTIAL","WRONG / MISSED"))))))))</x:f>
      </x:c>
      <x:c r="AA337" t="str">
        <x:f>IF(OR(A337="",M337&lt;&gt;"VERIFIED",H337="",K337="",J337&lt;&gt;"FULL"),"",K337-H337)</x:f>
      </x:c>
      <x:c r="AB337" t="str">
        <x:f>IF(OR(A337="",M337&lt;&gt;"VERIFIED",H337="",H337&gt;=L337,J337="FULL",J337="UNASSESSABLE"),"",L337-H337)</x:f>
      </x:c>
      <x:c r="AC337" t="n">
        <x:f>IF(AND(A337&lt;&gt;"",M337="VERIFIED",N337="YES",H337&lt;&gt;"",H337&lt;L337,I337&lt;&gt;"UNASSESSABLE",I337&lt;&gt;"UNREVIEWED",I337&lt;&gt;"NOT_DUE"),1,0)</x:f>
        <x:v>0</x:v>
      </x:c>
      <x:c r="AD337" t="n">
        <x:f>IF(AND(AC337=1,I337="FULL"),1,0)</x:f>
        <x:v>0</x:v>
      </x:c>
      <x:c r="AE337" t="n">
        <x:f>IF(AND(AC337=1,OR(I337="FULL",J337="FULL")),1,0)</x:f>
        <x:v>0</x:v>
      </x:c>
      <x:c r="AF337" s="21"/>
    </x:row>
    <x:row r="338">
      <x:c r="H338" s="21"/>
      <x:c r="K338" s="21"/>
      <x:c r="L338" s="21"/>
      <x:c r="Z338" t="str">
        <x:f>IF(A338="","",IF(M338="EXCLUDED","EXCLUDED",IF(M338&lt;&gt;"VERIFIED","UNREVIEWED",IF(OR(H338="",I338="UNASSESSABLE",J338="UNASSESSABLE"),"UNSCORABLE",IF(H338&gt;=L338,IF(J338="FULL","CORRECT","PENDING"),IF(I338="FULL","CORRECT",IF(J338="FULL","LATE",IF(OR(I338="PARTIAL",J338="PARTIAL"),"PARTIAL","WRONG / MISSED"))))))))</x:f>
      </x:c>
      <x:c r="AA338" t="str">
        <x:f>IF(OR(A338="",M338&lt;&gt;"VERIFIED",H338="",K338="",J338&lt;&gt;"FULL"),"",K338-H338)</x:f>
      </x:c>
      <x:c r="AB338" t="str">
        <x:f>IF(OR(A338="",M338&lt;&gt;"VERIFIED",H338="",H338&gt;=L338,J338="FULL",J338="UNASSESSABLE"),"",L338-H338)</x:f>
      </x:c>
      <x:c r="AC338" t="n">
        <x:f>IF(AND(A338&lt;&gt;"",M338="VERIFIED",N338="YES",H338&lt;&gt;"",H338&lt;L338,I338&lt;&gt;"UNASSESSABLE",I338&lt;&gt;"UNREVIEWED",I338&lt;&gt;"NOT_DUE"),1,0)</x:f>
        <x:v>0</x:v>
      </x:c>
      <x:c r="AD338" t="n">
        <x:f>IF(AND(AC338=1,I338="FULL"),1,0)</x:f>
        <x:v>0</x:v>
      </x:c>
      <x:c r="AE338" t="n">
        <x:f>IF(AND(AC338=1,OR(I338="FULL",J338="FULL")),1,0)</x:f>
        <x:v>0</x:v>
      </x:c>
      <x:c r="AF338" s="21"/>
    </x:row>
    <x:row r="339">
      <x:c r="H339" s="21"/>
      <x:c r="K339" s="21"/>
      <x:c r="L339" s="21"/>
      <x:c r="Z339" t="str">
        <x:f>IF(A339="","",IF(M339="EXCLUDED","EXCLUDED",IF(M339&lt;&gt;"VERIFIED","UNREVIEWED",IF(OR(H339="",I339="UNASSESSABLE",J339="UNASSESSABLE"),"UNSCORABLE",IF(H339&gt;=L339,IF(J339="FULL","CORRECT","PENDING"),IF(I339="FULL","CORRECT",IF(J339="FULL","LATE",IF(OR(I339="PARTIAL",J339="PARTIAL"),"PARTIAL","WRONG / MISSED"))))))))</x:f>
      </x:c>
      <x:c r="AA339" t="str">
        <x:f>IF(OR(A339="",M339&lt;&gt;"VERIFIED",H339="",K339="",J339&lt;&gt;"FULL"),"",K339-H339)</x:f>
      </x:c>
      <x:c r="AB339" t="str">
        <x:f>IF(OR(A339="",M339&lt;&gt;"VERIFIED",H339="",H339&gt;=L339,J339="FULL",J339="UNASSESSABLE"),"",L339-H339)</x:f>
      </x:c>
      <x:c r="AC339" t="n">
        <x:f>IF(AND(A339&lt;&gt;"",M339="VERIFIED",N339="YES",H339&lt;&gt;"",H339&lt;L339,I339&lt;&gt;"UNASSESSABLE",I339&lt;&gt;"UNREVIEWED",I339&lt;&gt;"NOT_DUE"),1,0)</x:f>
        <x:v>0</x:v>
      </x:c>
      <x:c r="AD339" t="n">
        <x:f>IF(AND(AC339=1,I339="FULL"),1,0)</x:f>
        <x:v>0</x:v>
      </x:c>
      <x:c r="AE339" t="n">
        <x:f>IF(AND(AC339=1,OR(I339="FULL",J339="FULL")),1,0)</x:f>
        <x:v>0</x:v>
      </x:c>
      <x:c r="AF339" s="21"/>
    </x:row>
    <x:row r="340">
      <x:c r="H340" s="21"/>
      <x:c r="K340" s="21"/>
      <x:c r="L340" s="21"/>
      <x:c r="Z340" t="str">
        <x:f>IF(A340="","",IF(M340="EXCLUDED","EXCLUDED",IF(M340&lt;&gt;"VERIFIED","UNREVIEWED",IF(OR(H340="",I340="UNASSESSABLE",J340="UNASSESSABLE"),"UNSCORABLE",IF(H340&gt;=L340,IF(J340="FULL","CORRECT","PENDING"),IF(I340="FULL","CORRECT",IF(J340="FULL","LATE",IF(OR(I340="PARTIAL",J340="PARTIAL"),"PARTIAL","WRONG / MISSED"))))))))</x:f>
      </x:c>
      <x:c r="AA340" t="str">
        <x:f>IF(OR(A340="",M340&lt;&gt;"VERIFIED",H340="",K340="",J340&lt;&gt;"FULL"),"",K340-H340)</x:f>
      </x:c>
      <x:c r="AB340" t="str">
        <x:f>IF(OR(A340="",M340&lt;&gt;"VERIFIED",H340="",H340&gt;=L340,J340="FULL",J340="UNASSESSABLE"),"",L340-H340)</x:f>
      </x:c>
      <x:c r="AC340" t="n">
        <x:f>IF(AND(A340&lt;&gt;"",M340="VERIFIED",N340="YES",H340&lt;&gt;"",H340&lt;L340,I340&lt;&gt;"UNASSESSABLE",I340&lt;&gt;"UNREVIEWED",I340&lt;&gt;"NOT_DUE"),1,0)</x:f>
        <x:v>0</x:v>
      </x:c>
      <x:c r="AD340" t="n">
        <x:f>IF(AND(AC340=1,I340="FULL"),1,0)</x:f>
        <x:v>0</x:v>
      </x:c>
      <x:c r="AE340" t="n">
        <x:f>IF(AND(AC340=1,OR(I340="FULL",J340="FULL")),1,0)</x:f>
        <x:v>0</x:v>
      </x:c>
      <x:c r="AF340" s="21"/>
    </x:row>
    <x:row r="341">
      <x:c r="H341" s="21"/>
      <x:c r="K341" s="21"/>
      <x:c r="L341" s="21"/>
      <x:c r="Z341" t="str">
        <x:f>IF(A341="","",IF(M341="EXCLUDED","EXCLUDED",IF(M341&lt;&gt;"VERIFIED","UNREVIEWED",IF(OR(H341="",I341="UNASSESSABLE",J341="UNASSESSABLE"),"UNSCORABLE",IF(H341&gt;=L341,IF(J341="FULL","CORRECT","PENDING"),IF(I341="FULL","CORRECT",IF(J341="FULL","LATE",IF(OR(I341="PARTIAL",J341="PARTIAL"),"PARTIAL","WRONG / MISSED"))))))))</x:f>
      </x:c>
      <x:c r="AA341" t="str">
        <x:f>IF(OR(A341="",M341&lt;&gt;"VERIFIED",H341="",K341="",J341&lt;&gt;"FULL"),"",K341-H341)</x:f>
      </x:c>
      <x:c r="AB341" t="str">
        <x:f>IF(OR(A341="",M341&lt;&gt;"VERIFIED",H341="",H341&gt;=L341,J341="FULL",J341="UNASSESSABLE"),"",L341-H341)</x:f>
      </x:c>
      <x:c r="AC341" t="n">
        <x:f>IF(AND(A341&lt;&gt;"",M341="VERIFIED",N341="YES",H341&lt;&gt;"",H341&lt;L341,I341&lt;&gt;"UNASSESSABLE",I341&lt;&gt;"UNREVIEWED",I341&lt;&gt;"NOT_DUE"),1,0)</x:f>
        <x:v>0</x:v>
      </x:c>
      <x:c r="AD341" t="n">
        <x:f>IF(AND(AC341=1,I341="FULL"),1,0)</x:f>
        <x:v>0</x:v>
      </x:c>
      <x:c r="AE341" t="n">
        <x:f>IF(AND(AC341=1,OR(I341="FULL",J341="FULL")),1,0)</x:f>
        <x:v>0</x:v>
      </x:c>
      <x:c r="AF341" s="21"/>
    </x:row>
    <x:row r="342">
      <x:c r="H342" s="21"/>
      <x:c r="K342" s="21"/>
      <x:c r="L342" s="21"/>
      <x:c r="Z342" t="str">
        <x:f>IF(A342="","",IF(M342="EXCLUDED","EXCLUDED",IF(M342&lt;&gt;"VERIFIED","UNREVIEWED",IF(OR(H342="",I342="UNASSESSABLE",J342="UNASSESSABLE"),"UNSCORABLE",IF(H342&gt;=L342,IF(J342="FULL","CORRECT","PENDING"),IF(I342="FULL","CORRECT",IF(J342="FULL","LATE",IF(OR(I342="PARTIAL",J342="PARTIAL"),"PARTIAL","WRONG / MISSED"))))))))</x:f>
      </x:c>
      <x:c r="AA342" t="str">
        <x:f>IF(OR(A342="",M342&lt;&gt;"VERIFIED",H342="",K342="",J342&lt;&gt;"FULL"),"",K342-H342)</x:f>
      </x:c>
      <x:c r="AB342" t="str">
        <x:f>IF(OR(A342="",M342&lt;&gt;"VERIFIED",H342="",H342&gt;=L342,J342="FULL",J342="UNASSESSABLE"),"",L342-H342)</x:f>
      </x:c>
      <x:c r="AC342" t="n">
        <x:f>IF(AND(A342&lt;&gt;"",M342="VERIFIED",N342="YES",H342&lt;&gt;"",H342&lt;L342,I342&lt;&gt;"UNASSESSABLE",I342&lt;&gt;"UNREVIEWED",I342&lt;&gt;"NOT_DUE"),1,0)</x:f>
        <x:v>0</x:v>
      </x:c>
      <x:c r="AD342" t="n">
        <x:f>IF(AND(AC342=1,I342="FULL"),1,0)</x:f>
        <x:v>0</x:v>
      </x:c>
      <x:c r="AE342" t="n">
        <x:f>IF(AND(AC342=1,OR(I342="FULL",J342="FULL")),1,0)</x:f>
        <x:v>0</x:v>
      </x:c>
      <x:c r="AF342" s="21"/>
    </x:row>
    <x:row r="343">
      <x:c r="H343" s="21"/>
      <x:c r="K343" s="21"/>
      <x:c r="L343" s="21"/>
      <x:c r="Z343" t="str">
        <x:f>IF(A343="","",IF(M343="EXCLUDED","EXCLUDED",IF(M343&lt;&gt;"VERIFIED","UNREVIEWED",IF(OR(H343="",I343="UNASSESSABLE",J343="UNASSESSABLE"),"UNSCORABLE",IF(H343&gt;=L343,IF(J343="FULL","CORRECT","PENDING"),IF(I343="FULL","CORRECT",IF(J343="FULL","LATE",IF(OR(I343="PARTIAL",J343="PARTIAL"),"PARTIAL","WRONG / MISSED"))))))))</x:f>
      </x:c>
      <x:c r="AA343" t="str">
        <x:f>IF(OR(A343="",M343&lt;&gt;"VERIFIED",H343="",K343="",J343&lt;&gt;"FULL"),"",K343-H343)</x:f>
      </x:c>
      <x:c r="AB343" t="str">
        <x:f>IF(OR(A343="",M343&lt;&gt;"VERIFIED",H343="",H343&gt;=L343,J343="FULL",J343="UNASSESSABLE"),"",L343-H343)</x:f>
      </x:c>
      <x:c r="AC343" t="n">
        <x:f>IF(AND(A343&lt;&gt;"",M343="VERIFIED",N343="YES",H343&lt;&gt;"",H343&lt;L343,I343&lt;&gt;"UNASSESSABLE",I343&lt;&gt;"UNREVIEWED",I343&lt;&gt;"NOT_DUE"),1,0)</x:f>
        <x:v>0</x:v>
      </x:c>
      <x:c r="AD343" t="n">
        <x:f>IF(AND(AC343=1,I343="FULL"),1,0)</x:f>
        <x:v>0</x:v>
      </x:c>
      <x:c r="AE343" t="n">
        <x:f>IF(AND(AC343=1,OR(I343="FULL",J343="FULL")),1,0)</x:f>
        <x:v>0</x:v>
      </x:c>
      <x:c r="AF343" s="21"/>
    </x:row>
    <x:row r="344">
      <x:c r="H344" s="21"/>
      <x:c r="K344" s="21"/>
      <x:c r="L344" s="21"/>
      <x:c r="Z344" t="str">
        <x:f>IF(A344="","",IF(M344="EXCLUDED","EXCLUDED",IF(M344&lt;&gt;"VERIFIED","UNREVIEWED",IF(OR(H344="",I344="UNASSESSABLE",J344="UNASSESSABLE"),"UNSCORABLE",IF(H344&gt;=L344,IF(J344="FULL","CORRECT","PENDING"),IF(I344="FULL","CORRECT",IF(J344="FULL","LATE",IF(OR(I344="PARTIAL",J344="PARTIAL"),"PARTIAL","WRONG / MISSED"))))))))</x:f>
      </x:c>
      <x:c r="AA344" t="str">
        <x:f>IF(OR(A344="",M344&lt;&gt;"VERIFIED",H344="",K344="",J344&lt;&gt;"FULL"),"",K344-H344)</x:f>
      </x:c>
      <x:c r="AB344" t="str">
        <x:f>IF(OR(A344="",M344&lt;&gt;"VERIFIED",H344="",H344&gt;=L344,J344="FULL",J344="UNASSESSABLE"),"",L344-H344)</x:f>
      </x:c>
      <x:c r="AC344" t="n">
        <x:f>IF(AND(A344&lt;&gt;"",M344="VERIFIED",N344="YES",H344&lt;&gt;"",H344&lt;L344,I344&lt;&gt;"UNASSESSABLE",I344&lt;&gt;"UNREVIEWED",I344&lt;&gt;"NOT_DUE"),1,0)</x:f>
        <x:v>0</x:v>
      </x:c>
      <x:c r="AD344" t="n">
        <x:f>IF(AND(AC344=1,I344="FULL"),1,0)</x:f>
        <x:v>0</x:v>
      </x:c>
      <x:c r="AE344" t="n">
        <x:f>IF(AND(AC344=1,OR(I344="FULL",J344="FULL")),1,0)</x:f>
        <x:v>0</x:v>
      </x:c>
      <x:c r="AF344" s="21"/>
    </x:row>
    <x:row r="345">
      <x:c r="H345" s="21"/>
      <x:c r="K345" s="21"/>
      <x:c r="L345" s="21"/>
      <x:c r="Z345" t="str">
        <x:f>IF(A345="","",IF(M345="EXCLUDED","EXCLUDED",IF(M345&lt;&gt;"VERIFIED","UNREVIEWED",IF(OR(H345="",I345="UNASSESSABLE",J345="UNASSESSABLE"),"UNSCORABLE",IF(H345&gt;=L345,IF(J345="FULL","CORRECT","PENDING"),IF(I345="FULL","CORRECT",IF(J345="FULL","LATE",IF(OR(I345="PARTIAL",J345="PARTIAL"),"PARTIAL","WRONG / MISSED"))))))))</x:f>
      </x:c>
      <x:c r="AA345" t="str">
        <x:f>IF(OR(A345="",M345&lt;&gt;"VERIFIED",H345="",K345="",J345&lt;&gt;"FULL"),"",K345-H345)</x:f>
      </x:c>
      <x:c r="AB345" t="str">
        <x:f>IF(OR(A345="",M345&lt;&gt;"VERIFIED",H345="",H345&gt;=L345,J345="FULL",J345="UNASSESSABLE"),"",L345-H345)</x:f>
      </x:c>
      <x:c r="AC345" t="n">
        <x:f>IF(AND(A345&lt;&gt;"",M345="VERIFIED",N345="YES",H345&lt;&gt;"",H345&lt;L345,I345&lt;&gt;"UNASSESSABLE",I345&lt;&gt;"UNREVIEWED",I345&lt;&gt;"NOT_DUE"),1,0)</x:f>
        <x:v>0</x:v>
      </x:c>
      <x:c r="AD345" t="n">
        <x:f>IF(AND(AC345=1,I345="FULL"),1,0)</x:f>
        <x:v>0</x:v>
      </x:c>
      <x:c r="AE345" t="n">
        <x:f>IF(AND(AC345=1,OR(I345="FULL",J345="FULL")),1,0)</x:f>
        <x:v>0</x:v>
      </x:c>
      <x:c r="AF345" s="21"/>
    </x:row>
    <x:row r="346">
      <x:c r="H346" s="21"/>
      <x:c r="K346" s="21"/>
      <x:c r="L346" s="21"/>
      <x:c r="Z346" t="str">
        <x:f>IF(A346="","",IF(M346="EXCLUDED","EXCLUDED",IF(M346&lt;&gt;"VERIFIED","UNREVIEWED",IF(OR(H346="",I346="UNASSESSABLE",J346="UNASSESSABLE"),"UNSCORABLE",IF(H346&gt;=L346,IF(J346="FULL","CORRECT","PENDING"),IF(I346="FULL","CORRECT",IF(J346="FULL","LATE",IF(OR(I346="PARTIAL",J346="PARTIAL"),"PARTIAL","WRONG / MISSED"))))))))</x:f>
      </x:c>
      <x:c r="AA346" t="str">
        <x:f>IF(OR(A346="",M346&lt;&gt;"VERIFIED",H346="",K346="",J346&lt;&gt;"FULL"),"",K346-H346)</x:f>
      </x:c>
      <x:c r="AB346" t="str">
        <x:f>IF(OR(A346="",M346&lt;&gt;"VERIFIED",H346="",H346&gt;=L346,J346="FULL",J346="UNASSESSABLE"),"",L346-H346)</x:f>
      </x:c>
      <x:c r="AC346" t="n">
        <x:f>IF(AND(A346&lt;&gt;"",M346="VERIFIED",N346="YES",H346&lt;&gt;"",H346&lt;L346,I346&lt;&gt;"UNASSESSABLE",I346&lt;&gt;"UNREVIEWED",I346&lt;&gt;"NOT_DUE"),1,0)</x:f>
        <x:v>0</x:v>
      </x:c>
      <x:c r="AD346" t="n">
        <x:f>IF(AND(AC346=1,I346="FULL"),1,0)</x:f>
        <x:v>0</x:v>
      </x:c>
      <x:c r="AE346" t="n">
        <x:f>IF(AND(AC346=1,OR(I346="FULL",J346="FULL")),1,0)</x:f>
        <x:v>0</x:v>
      </x:c>
      <x:c r="AF346" s="21"/>
    </x:row>
    <x:row r="347">
      <x:c r="H347" s="21"/>
      <x:c r="K347" s="21"/>
      <x:c r="L347" s="21"/>
      <x:c r="Z347" t="str">
        <x:f>IF(A347="","",IF(M347="EXCLUDED","EXCLUDED",IF(M347&lt;&gt;"VERIFIED","UNREVIEWED",IF(OR(H347="",I347="UNASSESSABLE",J347="UNASSESSABLE"),"UNSCORABLE",IF(H347&gt;=L347,IF(J347="FULL","CORRECT","PENDING"),IF(I347="FULL","CORRECT",IF(J347="FULL","LATE",IF(OR(I347="PARTIAL",J347="PARTIAL"),"PARTIAL","WRONG / MISSED"))))))))</x:f>
      </x:c>
      <x:c r="AA347" t="str">
        <x:f>IF(OR(A347="",M347&lt;&gt;"VERIFIED",H347="",K347="",J347&lt;&gt;"FULL"),"",K347-H347)</x:f>
      </x:c>
      <x:c r="AB347" t="str">
        <x:f>IF(OR(A347="",M347&lt;&gt;"VERIFIED",H347="",H347&gt;=L347,J347="FULL",J347="UNASSESSABLE"),"",L347-H347)</x:f>
      </x:c>
      <x:c r="AC347" t="n">
        <x:f>IF(AND(A347&lt;&gt;"",M347="VERIFIED",N347="YES",H347&lt;&gt;"",H347&lt;L347,I347&lt;&gt;"UNASSESSABLE",I347&lt;&gt;"UNREVIEWED",I347&lt;&gt;"NOT_DUE"),1,0)</x:f>
        <x:v>0</x:v>
      </x:c>
      <x:c r="AD347" t="n">
        <x:f>IF(AND(AC347=1,I347="FULL"),1,0)</x:f>
        <x:v>0</x:v>
      </x:c>
      <x:c r="AE347" t="n">
        <x:f>IF(AND(AC347=1,OR(I347="FULL",J347="FULL")),1,0)</x:f>
        <x:v>0</x:v>
      </x:c>
      <x:c r="AF347" s="21"/>
    </x:row>
    <x:row r="348">
      <x:c r="H348" s="21"/>
      <x:c r="K348" s="21"/>
      <x:c r="L348" s="21"/>
      <x:c r="Z348" t="str">
        <x:f>IF(A348="","",IF(M348="EXCLUDED","EXCLUDED",IF(M348&lt;&gt;"VERIFIED","UNREVIEWED",IF(OR(H348="",I348="UNASSESSABLE",J348="UNASSESSABLE"),"UNSCORABLE",IF(H348&gt;=L348,IF(J348="FULL","CORRECT","PENDING"),IF(I348="FULL","CORRECT",IF(J348="FULL","LATE",IF(OR(I348="PARTIAL",J348="PARTIAL"),"PARTIAL","WRONG / MISSED"))))))))</x:f>
      </x:c>
      <x:c r="AA348" t="str">
        <x:f>IF(OR(A348="",M348&lt;&gt;"VERIFIED",H348="",K348="",J348&lt;&gt;"FULL"),"",K348-H348)</x:f>
      </x:c>
      <x:c r="AB348" t="str">
        <x:f>IF(OR(A348="",M348&lt;&gt;"VERIFIED",H348="",H348&gt;=L348,J348="FULL",J348="UNASSESSABLE"),"",L348-H348)</x:f>
      </x:c>
      <x:c r="AC348" t="n">
        <x:f>IF(AND(A348&lt;&gt;"",M348="VERIFIED",N348="YES",H348&lt;&gt;"",H348&lt;L348,I348&lt;&gt;"UNASSESSABLE",I348&lt;&gt;"UNREVIEWED",I348&lt;&gt;"NOT_DUE"),1,0)</x:f>
        <x:v>0</x:v>
      </x:c>
      <x:c r="AD348" t="n">
        <x:f>IF(AND(AC348=1,I348="FULL"),1,0)</x:f>
        <x:v>0</x:v>
      </x:c>
      <x:c r="AE348" t="n">
        <x:f>IF(AND(AC348=1,OR(I348="FULL",J348="FULL")),1,0)</x:f>
        <x:v>0</x:v>
      </x:c>
      <x:c r="AF348" s="21"/>
    </x:row>
    <x:row r="349">
      <x:c r="H349" s="21"/>
      <x:c r="K349" s="21"/>
      <x:c r="L349" s="21"/>
      <x:c r="Z349" t="str">
        <x:f>IF(A349="","",IF(M349="EXCLUDED","EXCLUDED",IF(M349&lt;&gt;"VERIFIED","UNREVIEWED",IF(OR(H349="",I349="UNASSESSABLE",J349="UNASSESSABLE"),"UNSCORABLE",IF(H349&gt;=L349,IF(J349="FULL","CORRECT","PENDING"),IF(I349="FULL","CORRECT",IF(J349="FULL","LATE",IF(OR(I349="PARTIAL",J349="PARTIAL"),"PARTIAL","WRONG / MISSED"))))))))</x:f>
      </x:c>
      <x:c r="AA349" t="str">
        <x:f>IF(OR(A349="",M349&lt;&gt;"VERIFIED",H349="",K349="",J349&lt;&gt;"FULL"),"",K349-H349)</x:f>
      </x:c>
      <x:c r="AB349" t="str">
        <x:f>IF(OR(A349="",M349&lt;&gt;"VERIFIED",H349="",H349&gt;=L349,J349="FULL",J349="UNASSESSABLE"),"",L349-H349)</x:f>
      </x:c>
      <x:c r="AC349" t="n">
        <x:f>IF(AND(A349&lt;&gt;"",M349="VERIFIED",N349="YES",H349&lt;&gt;"",H349&lt;L349,I349&lt;&gt;"UNASSESSABLE",I349&lt;&gt;"UNREVIEWED",I349&lt;&gt;"NOT_DUE"),1,0)</x:f>
        <x:v>0</x:v>
      </x:c>
      <x:c r="AD349" t="n">
        <x:f>IF(AND(AC349=1,I349="FULL"),1,0)</x:f>
        <x:v>0</x:v>
      </x:c>
      <x:c r="AE349" t="n">
        <x:f>IF(AND(AC349=1,OR(I349="FULL",J349="FULL")),1,0)</x:f>
        <x:v>0</x:v>
      </x:c>
      <x:c r="AF349" s="21"/>
    </x:row>
    <x:row r="350">
      <x:c r="H350" s="21"/>
      <x:c r="K350" s="21"/>
      <x:c r="L350" s="21"/>
      <x:c r="Z350" t="str">
        <x:f>IF(A350="","",IF(M350="EXCLUDED","EXCLUDED",IF(M350&lt;&gt;"VERIFIED","UNREVIEWED",IF(OR(H350="",I350="UNASSESSABLE",J350="UNASSESSABLE"),"UNSCORABLE",IF(H350&gt;=L350,IF(J350="FULL","CORRECT","PENDING"),IF(I350="FULL","CORRECT",IF(J350="FULL","LATE",IF(OR(I350="PARTIAL",J350="PARTIAL"),"PARTIAL","WRONG / MISSED"))))))))</x:f>
      </x:c>
      <x:c r="AA350" t="str">
        <x:f>IF(OR(A350="",M350&lt;&gt;"VERIFIED",H350="",K350="",J350&lt;&gt;"FULL"),"",K350-H350)</x:f>
      </x:c>
      <x:c r="AB350" t="str">
        <x:f>IF(OR(A350="",M350&lt;&gt;"VERIFIED",H350="",H350&gt;=L350,J350="FULL",J350="UNASSESSABLE"),"",L350-H350)</x:f>
      </x:c>
      <x:c r="AC350" t="n">
        <x:f>IF(AND(A350&lt;&gt;"",M350="VERIFIED",N350="YES",H350&lt;&gt;"",H350&lt;L350,I350&lt;&gt;"UNASSESSABLE",I350&lt;&gt;"UNREVIEWED",I350&lt;&gt;"NOT_DUE"),1,0)</x:f>
        <x:v>0</x:v>
      </x:c>
      <x:c r="AD350" t="n">
        <x:f>IF(AND(AC350=1,I350="FULL"),1,0)</x:f>
        <x:v>0</x:v>
      </x:c>
      <x:c r="AE350" t="n">
        <x:f>IF(AND(AC350=1,OR(I350="FULL",J350="FULL")),1,0)</x:f>
        <x:v>0</x:v>
      </x:c>
      <x:c r="AF350" s="21"/>
    </x:row>
    <x:row r="351">
      <x:c r="H351" s="21"/>
      <x:c r="K351" s="21"/>
      <x:c r="L351" s="21"/>
      <x:c r="Z351" t="str">
        <x:f>IF(A351="","",IF(M351="EXCLUDED","EXCLUDED",IF(M351&lt;&gt;"VERIFIED","UNREVIEWED",IF(OR(H351="",I351="UNASSESSABLE",J351="UNASSESSABLE"),"UNSCORABLE",IF(H351&gt;=L351,IF(J351="FULL","CORRECT","PENDING"),IF(I351="FULL","CORRECT",IF(J351="FULL","LATE",IF(OR(I351="PARTIAL",J351="PARTIAL"),"PARTIAL","WRONG / MISSED"))))))))</x:f>
      </x:c>
      <x:c r="AA351" t="str">
        <x:f>IF(OR(A351="",M351&lt;&gt;"VERIFIED",H351="",K351="",J351&lt;&gt;"FULL"),"",K351-H351)</x:f>
      </x:c>
      <x:c r="AB351" t="str">
        <x:f>IF(OR(A351="",M351&lt;&gt;"VERIFIED",H351="",H351&gt;=L351,J351="FULL",J351="UNASSESSABLE"),"",L351-H351)</x:f>
      </x:c>
      <x:c r="AC351" t="n">
        <x:f>IF(AND(A351&lt;&gt;"",M351="VERIFIED",N351="YES",H351&lt;&gt;"",H351&lt;L351,I351&lt;&gt;"UNASSESSABLE",I351&lt;&gt;"UNREVIEWED",I351&lt;&gt;"NOT_DUE"),1,0)</x:f>
        <x:v>0</x:v>
      </x:c>
      <x:c r="AD351" t="n">
        <x:f>IF(AND(AC351=1,I351="FULL"),1,0)</x:f>
        <x:v>0</x:v>
      </x:c>
      <x:c r="AE351" t="n">
        <x:f>IF(AND(AC351=1,OR(I351="FULL",J351="FULL")),1,0)</x:f>
        <x:v>0</x:v>
      </x:c>
      <x:c r="AF351" s="21"/>
    </x:row>
    <x:row r="352">
      <x:c r="H352" s="21"/>
      <x:c r="K352" s="21"/>
      <x:c r="L352" s="21"/>
      <x:c r="Z352" t="str">
        <x:f>IF(A352="","",IF(M352="EXCLUDED","EXCLUDED",IF(M352&lt;&gt;"VERIFIED","UNREVIEWED",IF(OR(H352="",I352="UNASSESSABLE",J352="UNASSESSABLE"),"UNSCORABLE",IF(H352&gt;=L352,IF(J352="FULL","CORRECT","PENDING"),IF(I352="FULL","CORRECT",IF(J352="FULL","LATE",IF(OR(I352="PARTIAL",J352="PARTIAL"),"PARTIAL","WRONG / MISSED"))))))))</x:f>
      </x:c>
      <x:c r="AA352" t="str">
        <x:f>IF(OR(A352="",M352&lt;&gt;"VERIFIED",H352="",K352="",J352&lt;&gt;"FULL"),"",K352-H352)</x:f>
      </x:c>
      <x:c r="AB352" t="str">
        <x:f>IF(OR(A352="",M352&lt;&gt;"VERIFIED",H352="",H352&gt;=L352,J352="FULL",J352="UNASSESSABLE"),"",L352-H352)</x:f>
      </x:c>
      <x:c r="AC352" t="n">
        <x:f>IF(AND(A352&lt;&gt;"",M352="VERIFIED",N352="YES",H352&lt;&gt;"",H352&lt;L352,I352&lt;&gt;"UNASSESSABLE",I352&lt;&gt;"UNREVIEWED",I352&lt;&gt;"NOT_DUE"),1,0)</x:f>
        <x:v>0</x:v>
      </x:c>
      <x:c r="AD352" t="n">
        <x:f>IF(AND(AC352=1,I352="FULL"),1,0)</x:f>
        <x:v>0</x:v>
      </x:c>
      <x:c r="AE352" t="n">
        <x:f>IF(AND(AC352=1,OR(I352="FULL",J352="FULL")),1,0)</x:f>
        <x:v>0</x:v>
      </x:c>
      <x:c r="AF352" s="21"/>
    </x:row>
    <x:row r="353">
      <x:c r="H353" s="21"/>
      <x:c r="K353" s="21"/>
      <x:c r="L353" s="21"/>
      <x:c r="Z353" t="str">
        <x:f>IF(A353="","",IF(M353="EXCLUDED","EXCLUDED",IF(M353&lt;&gt;"VERIFIED","UNREVIEWED",IF(OR(H353="",I353="UNASSESSABLE",J353="UNASSESSABLE"),"UNSCORABLE",IF(H353&gt;=L353,IF(J353="FULL","CORRECT","PENDING"),IF(I353="FULL","CORRECT",IF(J353="FULL","LATE",IF(OR(I353="PARTIAL",J353="PARTIAL"),"PARTIAL","WRONG / MISSED"))))))))</x:f>
      </x:c>
      <x:c r="AA353" t="str">
        <x:f>IF(OR(A353="",M353&lt;&gt;"VERIFIED",H353="",K353="",J353&lt;&gt;"FULL"),"",K353-H353)</x:f>
      </x:c>
      <x:c r="AB353" t="str">
        <x:f>IF(OR(A353="",M353&lt;&gt;"VERIFIED",H353="",H353&gt;=L353,J353="FULL",J353="UNASSESSABLE"),"",L353-H353)</x:f>
      </x:c>
      <x:c r="AC353" t="n">
        <x:f>IF(AND(A353&lt;&gt;"",M353="VERIFIED",N353="YES",H353&lt;&gt;"",H353&lt;L353,I353&lt;&gt;"UNASSESSABLE",I353&lt;&gt;"UNREVIEWED",I353&lt;&gt;"NOT_DUE"),1,0)</x:f>
        <x:v>0</x:v>
      </x:c>
      <x:c r="AD353" t="n">
        <x:f>IF(AND(AC353=1,I353="FULL"),1,0)</x:f>
        <x:v>0</x:v>
      </x:c>
      <x:c r="AE353" t="n">
        <x:f>IF(AND(AC353=1,OR(I353="FULL",J353="FULL")),1,0)</x:f>
        <x:v>0</x:v>
      </x:c>
      <x:c r="AF353" s="21"/>
    </x:row>
    <x:row r="354">
      <x:c r="H354" s="21"/>
      <x:c r="K354" s="21"/>
      <x:c r="L354" s="21"/>
      <x:c r="Z354" t="str">
        <x:f>IF(A354="","",IF(M354="EXCLUDED","EXCLUDED",IF(M354&lt;&gt;"VERIFIED","UNREVIEWED",IF(OR(H354="",I354="UNASSESSABLE",J354="UNASSESSABLE"),"UNSCORABLE",IF(H354&gt;=L354,IF(J354="FULL","CORRECT","PENDING"),IF(I354="FULL","CORRECT",IF(J354="FULL","LATE",IF(OR(I354="PARTIAL",J354="PARTIAL"),"PARTIAL","WRONG / MISSED"))))))))</x:f>
      </x:c>
      <x:c r="AA354" t="str">
        <x:f>IF(OR(A354="",M354&lt;&gt;"VERIFIED",H354="",K354="",J354&lt;&gt;"FULL"),"",K354-H354)</x:f>
      </x:c>
      <x:c r="AB354" t="str">
        <x:f>IF(OR(A354="",M354&lt;&gt;"VERIFIED",H354="",H354&gt;=L354,J354="FULL",J354="UNASSESSABLE"),"",L354-H354)</x:f>
      </x:c>
      <x:c r="AC354" t="n">
        <x:f>IF(AND(A354&lt;&gt;"",M354="VERIFIED",N354="YES",H354&lt;&gt;"",H354&lt;L354,I354&lt;&gt;"UNASSESSABLE",I354&lt;&gt;"UNREVIEWED",I354&lt;&gt;"NOT_DUE"),1,0)</x:f>
        <x:v>0</x:v>
      </x:c>
      <x:c r="AD354" t="n">
        <x:f>IF(AND(AC354=1,I354="FULL"),1,0)</x:f>
        <x:v>0</x:v>
      </x:c>
      <x:c r="AE354" t="n">
        <x:f>IF(AND(AC354=1,OR(I354="FULL",J354="FULL")),1,0)</x:f>
        <x:v>0</x:v>
      </x:c>
      <x:c r="AF354" s="21"/>
    </x:row>
    <x:row r="355">
      <x:c r="H355" s="21"/>
      <x:c r="K355" s="21"/>
      <x:c r="L355" s="21"/>
      <x:c r="Z355" t="str">
        <x:f>IF(A355="","",IF(M355="EXCLUDED","EXCLUDED",IF(M355&lt;&gt;"VERIFIED","UNREVIEWED",IF(OR(H355="",I355="UNASSESSABLE",J355="UNASSESSABLE"),"UNSCORABLE",IF(H355&gt;=L355,IF(J355="FULL","CORRECT","PENDING"),IF(I355="FULL","CORRECT",IF(J355="FULL","LATE",IF(OR(I355="PARTIAL",J355="PARTIAL"),"PARTIAL","WRONG / MISSED"))))))))</x:f>
      </x:c>
      <x:c r="AA355" t="str">
        <x:f>IF(OR(A355="",M355&lt;&gt;"VERIFIED",H355="",K355="",J355&lt;&gt;"FULL"),"",K355-H355)</x:f>
      </x:c>
      <x:c r="AB355" t="str">
        <x:f>IF(OR(A355="",M355&lt;&gt;"VERIFIED",H355="",H355&gt;=L355,J355="FULL",J355="UNASSESSABLE"),"",L355-H355)</x:f>
      </x:c>
      <x:c r="AC355" t="n">
        <x:f>IF(AND(A355&lt;&gt;"",M355="VERIFIED",N355="YES",H355&lt;&gt;"",H355&lt;L355,I355&lt;&gt;"UNASSESSABLE",I355&lt;&gt;"UNREVIEWED",I355&lt;&gt;"NOT_DUE"),1,0)</x:f>
        <x:v>0</x:v>
      </x:c>
      <x:c r="AD355" t="n">
        <x:f>IF(AND(AC355=1,I355="FULL"),1,0)</x:f>
        <x:v>0</x:v>
      </x:c>
      <x:c r="AE355" t="n">
        <x:f>IF(AND(AC355=1,OR(I355="FULL",J355="FULL")),1,0)</x:f>
        <x:v>0</x:v>
      </x:c>
      <x:c r="AF355" s="21"/>
    </x:row>
    <x:row r="356">
      <x:c r="H356" s="21"/>
      <x:c r="K356" s="21"/>
      <x:c r="L356" s="21"/>
      <x:c r="Z356" t="str">
        <x:f>IF(A356="","",IF(M356="EXCLUDED","EXCLUDED",IF(M356&lt;&gt;"VERIFIED","UNREVIEWED",IF(OR(H356="",I356="UNASSESSABLE",J356="UNASSESSABLE"),"UNSCORABLE",IF(H356&gt;=L356,IF(J356="FULL","CORRECT","PENDING"),IF(I356="FULL","CORRECT",IF(J356="FULL","LATE",IF(OR(I356="PARTIAL",J356="PARTIAL"),"PARTIAL","WRONG / MISSED"))))))))</x:f>
      </x:c>
      <x:c r="AA356" t="str">
        <x:f>IF(OR(A356="",M356&lt;&gt;"VERIFIED",H356="",K356="",J356&lt;&gt;"FULL"),"",K356-H356)</x:f>
      </x:c>
      <x:c r="AB356" t="str">
        <x:f>IF(OR(A356="",M356&lt;&gt;"VERIFIED",H356="",H356&gt;=L356,J356="FULL",J356="UNASSESSABLE"),"",L356-H356)</x:f>
      </x:c>
      <x:c r="AC356" t="n">
        <x:f>IF(AND(A356&lt;&gt;"",M356="VERIFIED",N356="YES",H356&lt;&gt;"",H356&lt;L356,I356&lt;&gt;"UNASSESSABLE",I356&lt;&gt;"UNREVIEWED",I356&lt;&gt;"NOT_DUE"),1,0)</x:f>
        <x:v>0</x:v>
      </x:c>
      <x:c r="AD356" t="n">
        <x:f>IF(AND(AC356=1,I356="FULL"),1,0)</x:f>
        <x:v>0</x:v>
      </x:c>
      <x:c r="AE356" t="n">
        <x:f>IF(AND(AC356=1,OR(I356="FULL",J356="FULL")),1,0)</x:f>
        <x:v>0</x:v>
      </x:c>
      <x:c r="AF356" s="21"/>
    </x:row>
    <x:row r="357">
      <x:c r="H357" s="21"/>
      <x:c r="K357" s="21"/>
      <x:c r="L357" s="21"/>
      <x:c r="Z357" t="str">
        <x:f>IF(A357="","",IF(M357="EXCLUDED","EXCLUDED",IF(M357&lt;&gt;"VERIFIED","UNREVIEWED",IF(OR(H357="",I357="UNASSESSABLE",J357="UNASSESSABLE"),"UNSCORABLE",IF(H357&gt;=L357,IF(J357="FULL","CORRECT","PENDING"),IF(I357="FULL","CORRECT",IF(J357="FULL","LATE",IF(OR(I357="PARTIAL",J357="PARTIAL"),"PARTIAL","WRONG / MISSED"))))))))</x:f>
      </x:c>
      <x:c r="AA357" t="str">
        <x:f>IF(OR(A357="",M357&lt;&gt;"VERIFIED",H357="",K357="",J357&lt;&gt;"FULL"),"",K357-H357)</x:f>
      </x:c>
      <x:c r="AB357" t="str">
        <x:f>IF(OR(A357="",M357&lt;&gt;"VERIFIED",H357="",H357&gt;=L357,J357="FULL",J357="UNASSESSABLE"),"",L357-H357)</x:f>
      </x:c>
      <x:c r="AC357" t="n">
        <x:f>IF(AND(A357&lt;&gt;"",M357="VERIFIED",N357="YES",H357&lt;&gt;"",H357&lt;L357,I357&lt;&gt;"UNASSESSABLE",I357&lt;&gt;"UNREVIEWED",I357&lt;&gt;"NOT_DUE"),1,0)</x:f>
        <x:v>0</x:v>
      </x:c>
      <x:c r="AD357" t="n">
        <x:f>IF(AND(AC357=1,I357="FULL"),1,0)</x:f>
        <x:v>0</x:v>
      </x:c>
      <x:c r="AE357" t="n">
        <x:f>IF(AND(AC357=1,OR(I357="FULL",J357="FULL")),1,0)</x:f>
        <x:v>0</x:v>
      </x:c>
      <x:c r="AF357" s="21"/>
    </x:row>
    <x:row r="358">
      <x:c r="H358" s="21"/>
      <x:c r="K358" s="21"/>
      <x:c r="L358" s="21"/>
      <x:c r="Z358" t="str">
        <x:f>IF(A358="","",IF(M358="EXCLUDED","EXCLUDED",IF(M358&lt;&gt;"VERIFIED","UNREVIEWED",IF(OR(H358="",I358="UNASSESSABLE",J358="UNASSESSABLE"),"UNSCORABLE",IF(H358&gt;=L358,IF(J358="FULL","CORRECT","PENDING"),IF(I358="FULL","CORRECT",IF(J358="FULL","LATE",IF(OR(I358="PARTIAL",J358="PARTIAL"),"PARTIAL","WRONG / MISSED"))))))))</x:f>
      </x:c>
      <x:c r="AA358" t="str">
        <x:f>IF(OR(A358="",M358&lt;&gt;"VERIFIED",H358="",K358="",J358&lt;&gt;"FULL"),"",K358-H358)</x:f>
      </x:c>
      <x:c r="AB358" t="str">
        <x:f>IF(OR(A358="",M358&lt;&gt;"VERIFIED",H358="",H358&gt;=L358,J358="FULL",J358="UNASSESSABLE"),"",L358-H358)</x:f>
      </x:c>
      <x:c r="AC358" t="n">
        <x:f>IF(AND(A358&lt;&gt;"",M358="VERIFIED",N358="YES",H358&lt;&gt;"",H358&lt;L358,I358&lt;&gt;"UNASSESSABLE",I358&lt;&gt;"UNREVIEWED",I358&lt;&gt;"NOT_DUE"),1,0)</x:f>
        <x:v>0</x:v>
      </x:c>
      <x:c r="AD358" t="n">
        <x:f>IF(AND(AC358=1,I358="FULL"),1,0)</x:f>
        <x:v>0</x:v>
      </x:c>
      <x:c r="AE358" t="n">
        <x:f>IF(AND(AC358=1,OR(I358="FULL",J358="FULL")),1,0)</x:f>
        <x:v>0</x:v>
      </x:c>
      <x:c r="AF358" s="21"/>
    </x:row>
    <x:row r="359">
      <x:c r="H359" s="21"/>
      <x:c r="K359" s="21"/>
      <x:c r="L359" s="21"/>
      <x:c r="Z359" t="str">
        <x:f>IF(A359="","",IF(M359="EXCLUDED","EXCLUDED",IF(M359&lt;&gt;"VERIFIED","UNREVIEWED",IF(OR(H359="",I359="UNASSESSABLE",J359="UNASSESSABLE"),"UNSCORABLE",IF(H359&gt;=L359,IF(J359="FULL","CORRECT","PENDING"),IF(I359="FULL","CORRECT",IF(J359="FULL","LATE",IF(OR(I359="PARTIAL",J359="PARTIAL"),"PARTIAL","WRONG / MISSED"))))))))</x:f>
      </x:c>
      <x:c r="AA359" t="str">
        <x:f>IF(OR(A359="",M359&lt;&gt;"VERIFIED",H359="",K359="",J359&lt;&gt;"FULL"),"",K359-H359)</x:f>
      </x:c>
      <x:c r="AB359" t="str">
        <x:f>IF(OR(A359="",M359&lt;&gt;"VERIFIED",H359="",H359&gt;=L359,J359="FULL",J359="UNASSESSABLE"),"",L359-H359)</x:f>
      </x:c>
      <x:c r="AC359" t="n">
        <x:f>IF(AND(A359&lt;&gt;"",M359="VERIFIED",N359="YES",H359&lt;&gt;"",H359&lt;L359,I359&lt;&gt;"UNASSESSABLE",I359&lt;&gt;"UNREVIEWED",I359&lt;&gt;"NOT_DUE"),1,0)</x:f>
        <x:v>0</x:v>
      </x:c>
      <x:c r="AD359" t="n">
        <x:f>IF(AND(AC359=1,I359="FULL"),1,0)</x:f>
        <x:v>0</x:v>
      </x:c>
      <x:c r="AE359" t="n">
        <x:f>IF(AND(AC359=1,OR(I359="FULL",J359="FULL")),1,0)</x:f>
        <x:v>0</x:v>
      </x:c>
      <x:c r="AF359" s="21"/>
    </x:row>
    <x:row r="360">
      <x:c r="H360" s="21"/>
      <x:c r="K360" s="21"/>
      <x:c r="L360" s="21"/>
      <x:c r="Z360" t="str">
        <x:f>IF(A360="","",IF(M360="EXCLUDED","EXCLUDED",IF(M360&lt;&gt;"VERIFIED","UNREVIEWED",IF(OR(H360="",I360="UNASSESSABLE",J360="UNASSESSABLE"),"UNSCORABLE",IF(H360&gt;=L360,IF(J360="FULL","CORRECT","PENDING"),IF(I360="FULL","CORRECT",IF(J360="FULL","LATE",IF(OR(I360="PARTIAL",J360="PARTIAL"),"PARTIAL","WRONG / MISSED"))))))))</x:f>
      </x:c>
      <x:c r="AA360" t="str">
        <x:f>IF(OR(A360="",M360&lt;&gt;"VERIFIED",H360="",K360="",J360&lt;&gt;"FULL"),"",K360-H360)</x:f>
      </x:c>
      <x:c r="AB360" t="str">
        <x:f>IF(OR(A360="",M360&lt;&gt;"VERIFIED",H360="",H360&gt;=L360,J360="FULL",J360="UNASSESSABLE"),"",L360-H360)</x:f>
      </x:c>
      <x:c r="AC360" t="n">
        <x:f>IF(AND(A360&lt;&gt;"",M360="VERIFIED",N360="YES",H360&lt;&gt;"",H360&lt;L360,I360&lt;&gt;"UNASSESSABLE",I360&lt;&gt;"UNREVIEWED",I360&lt;&gt;"NOT_DUE"),1,0)</x:f>
        <x:v>0</x:v>
      </x:c>
      <x:c r="AD360" t="n">
        <x:f>IF(AND(AC360=1,I360="FULL"),1,0)</x:f>
        <x:v>0</x:v>
      </x:c>
      <x:c r="AE360" t="n">
        <x:f>IF(AND(AC360=1,OR(I360="FULL",J360="FULL")),1,0)</x:f>
        <x:v>0</x:v>
      </x:c>
      <x:c r="AF360" s="21"/>
    </x:row>
    <x:row r="361">
      <x:c r="H361" s="21"/>
      <x:c r="K361" s="21"/>
      <x:c r="L361" s="21"/>
      <x:c r="Z361" t="str">
        <x:f>IF(A361="","",IF(M361="EXCLUDED","EXCLUDED",IF(M361&lt;&gt;"VERIFIED","UNREVIEWED",IF(OR(H361="",I361="UNASSESSABLE",J361="UNASSESSABLE"),"UNSCORABLE",IF(H361&gt;=L361,IF(J361="FULL","CORRECT","PENDING"),IF(I361="FULL","CORRECT",IF(J361="FULL","LATE",IF(OR(I361="PARTIAL",J361="PARTIAL"),"PARTIAL","WRONG / MISSED"))))))))</x:f>
      </x:c>
      <x:c r="AA361" t="str">
        <x:f>IF(OR(A361="",M361&lt;&gt;"VERIFIED",H361="",K361="",J361&lt;&gt;"FULL"),"",K361-H361)</x:f>
      </x:c>
      <x:c r="AB361" t="str">
        <x:f>IF(OR(A361="",M361&lt;&gt;"VERIFIED",H361="",H361&gt;=L361,J361="FULL",J361="UNASSESSABLE"),"",L361-H361)</x:f>
      </x:c>
      <x:c r="AC361" t="n">
        <x:f>IF(AND(A361&lt;&gt;"",M361="VERIFIED",N361="YES",H361&lt;&gt;"",H361&lt;L361,I361&lt;&gt;"UNASSESSABLE",I361&lt;&gt;"UNREVIEWED",I361&lt;&gt;"NOT_DUE"),1,0)</x:f>
        <x:v>0</x:v>
      </x:c>
      <x:c r="AD361" t="n">
        <x:f>IF(AND(AC361=1,I361="FULL"),1,0)</x:f>
        <x:v>0</x:v>
      </x:c>
      <x:c r="AE361" t="n">
        <x:f>IF(AND(AC361=1,OR(I361="FULL",J361="FULL")),1,0)</x:f>
        <x:v>0</x:v>
      </x:c>
      <x:c r="AF361" s="21"/>
    </x:row>
    <x:row r="362">
      <x:c r="H362" s="21"/>
      <x:c r="K362" s="21"/>
      <x:c r="L362" s="21"/>
      <x:c r="Z362" t="str">
        <x:f>IF(A362="","",IF(M362="EXCLUDED","EXCLUDED",IF(M362&lt;&gt;"VERIFIED","UNREVIEWED",IF(OR(H362="",I362="UNASSESSABLE",J362="UNASSESSABLE"),"UNSCORABLE",IF(H362&gt;=L362,IF(J362="FULL","CORRECT","PENDING"),IF(I362="FULL","CORRECT",IF(J362="FULL","LATE",IF(OR(I362="PARTIAL",J362="PARTIAL"),"PARTIAL","WRONG / MISSED"))))))))</x:f>
      </x:c>
      <x:c r="AA362" t="str">
        <x:f>IF(OR(A362="",M362&lt;&gt;"VERIFIED",H362="",K362="",J362&lt;&gt;"FULL"),"",K362-H362)</x:f>
      </x:c>
      <x:c r="AB362" t="str">
        <x:f>IF(OR(A362="",M362&lt;&gt;"VERIFIED",H362="",H362&gt;=L362,J362="FULL",J362="UNASSESSABLE"),"",L362-H362)</x:f>
      </x:c>
      <x:c r="AC362" t="n">
        <x:f>IF(AND(A362&lt;&gt;"",M362="VERIFIED",N362="YES",H362&lt;&gt;"",H362&lt;L362,I362&lt;&gt;"UNASSESSABLE",I362&lt;&gt;"UNREVIEWED",I362&lt;&gt;"NOT_DUE"),1,0)</x:f>
        <x:v>0</x:v>
      </x:c>
      <x:c r="AD362" t="n">
        <x:f>IF(AND(AC362=1,I362="FULL"),1,0)</x:f>
        <x:v>0</x:v>
      </x:c>
      <x:c r="AE362" t="n">
        <x:f>IF(AND(AC362=1,OR(I362="FULL",J362="FULL")),1,0)</x:f>
        <x:v>0</x:v>
      </x:c>
      <x:c r="AF362" s="21"/>
    </x:row>
    <x:row r="363">
      <x:c r="H363" s="21"/>
      <x:c r="K363" s="21"/>
      <x:c r="L363" s="21"/>
      <x:c r="Z363" t="str">
        <x:f>IF(A363="","",IF(M363="EXCLUDED","EXCLUDED",IF(M363&lt;&gt;"VERIFIED","UNREVIEWED",IF(OR(H363="",I363="UNASSESSABLE",J363="UNASSESSABLE"),"UNSCORABLE",IF(H363&gt;=L363,IF(J363="FULL","CORRECT","PENDING"),IF(I363="FULL","CORRECT",IF(J363="FULL","LATE",IF(OR(I363="PARTIAL",J363="PARTIAL"),"PARTIAL","WRONG / MISSED"))))))))</x:f>
      </x:c>
      <x:c r="AA363" t="str">
        <x:f>IF(OR(A363="",M363&lt;&gt;"VERIFIED",H363="",K363="",J363&lt;&gt;"FULL"),"",K363-H363)</x:f>
      </x:c>
      <x:c r="AB363" t="str">
        <x:f>IF(OR(A363="",M363&lt;&gt;"VERIFIED",H363="",H363&gt;=L363,J363="FULL",J363="UNASSESSABLE"),"",L363-H363)</x:f>
      </x:c>
      <x:c r="AC363" t="n">
        <x:f>IF(AND(A363&lt;&gt;"",M363="VERIFIED",N363="YES",H363&lt;&gt;"",H363&lt;L363,I363&lt;&gt;"UNASSESSABLE",I363&lt;&gt;"UNREVIEWED",I363&lt;&gt;"NOT_DUE"),1,0)</x:f>
        <x:v>0</x:v>
      </x:c>
      <x:c r="AD363" t="n">
        <x:f>IF(AND(AC363=1,I363="FULL"),1,0)</x:f>
        <x:v>0</x:v>
      </x:c>
      <x:c r="AE363" t="n">
        <x:f>IF(AND(AC363=1,OR(I363="FULL",J363="FULL")),1,0)</x:f>
        <x:v>0</x:v>
      </x:c>
      <x:c r="AF363" s="21"/>
    </x:row>
    <x:row r="364">
      <x:c r="H364" s="21"/>
      <x:c r="K364" s="21"/>
      <x:c r="L364" s="21"/>
      <x:c r="Z364" t="str">
        <x:f>IF(A364="","",IF(M364="EXCLUDED","EXCLUDED",IF(M364&lt;&gt;"VERIFIED","UNREVIEWED",IF(OR(H364="",I364="UNASSESSABLE",J364="UNASSESSABLE"),"UNSCORABLE",IF(H364&gt;=L364,IF(J364="FULL","CORRECT","PENDING"),IF(I364="FULL","CORRECT",IF(J364="FULL","LATE",IF(OR(I364="PARTIAL",J364="PARTIAL"),"PARTIAL","WRONG / MISSED"))))))))</x:f>
      </x:c>
      <x:c r="AA364" t="str">
        <x:f>IF(OR(A364="",M364&lt;&gt;"VERIFIED",H364="",K364="",J364&lt;&gt;"FULL"),"",K364-H364)</x:f>
      </x:c>
      <x:c r="AB364" t="str">
        <x:f>IF(OR(A364="",M364&lt;&gt;"VERIFIED",H364="",H364&gt;=L364,J364="FULL",J364="UNASSESSABLE"),"",L364-H364)</x:f>
      </x:c>
      <x:c r="AC364" t="n">
        <x:f>IF(AND(A364&lt;&gt;"",M364="VERIFIED",N364="YES",H364&lt;&gt;"",H364&lt;L364,I364&lt;&gt;"UNASSESSABLE",I364&lt;&gt;"UNREVIEWED",I364&lt;&gt;"NOT_DUE"),1,0)</x:f>
        <x:v>0</x:v>
      </x:c>
      <x:c r="AD364" t="n">
        <x:f>IF(AND(AC364=1,I364="FULL"),1,0)</x:f>
        <x:v>0</x:v>
      </x:c>
      <x:c r="AE364" t="n">
        <x:f>IF(AND(AC364=1,OR(I364="FULL",J364="FULL")),1,0)</x:f>
        <x:v>0</x:v>
      </x:c>
      <x:c r="AF364" s="21"/>
    </x:row>
    <x:row r="365">
      <x:c r="H365" s="21"/>
      <x:c r="K365" s="21"/>
      <x:c r="L365" s="21"/>
      <x:c r="Z365" t="str">
        <x:f>IF(A365="","",IF(M365="EXCLUDED","EXCLUDED",IF(M365&lt;&gt;"VERIFIED","UNREVIEWED",IF(OR(H365="",I365="UNASSESSABLE",J365="UNASSESSABLE"),"UNSCORABLE",IF(H365&gt;=L365,IF(J365="FULL","CORRECT","PENDING"),IF(I365="FULL","CORRECT",IF(J365="FULL","LATE",IF(OR(I365="PARTIAL",J365="PARTIAL"),"PARTIAL","WRONG / MISSED"))))))))</x:f>
      </x:c>
      <x:c r="AA365" t="str">
        <x:f>IF(OR(A365="",M365&lt;&gt;"VERIFIED",H365="",K365="",J365&lt;&gt;"FULL"),"",K365-H365)</x:f>
      </x:c>
      <x:c r="AB365" t="str">
        <x:f>IF(OR(A365="",M365&lt;&gt;"VERIFIED",H365="",H365&gt;=L365,J365="FULL",J365="UNASSESSABLE"),"",L365-H365)</x:f>
      </x:c>
      <x:c r="AC365" t="n">
        <x:f>IF(AND(A365&lt;&gt;"",M365="VERIFIED",N365="YES",H365&lt;&gt;"",H365&lt;L365,I365&lt;&gt;"UNASSESSABLE",I365&lt;&gt;"UNREVIEWED",I365&lt;&gt;"NOT_DUE"),1,0)</x:f>
        <x:v>0</x:v>
      </x:c>
      <x:c r="AD365" t="n">
        <x:f>IF(AND(AC365=1,I365="FULL"),1,0)</x:f>
        <x:v>0</x:v>
      </x:c>
      <x:c r="AE365" t="n">
        <x:f>IF(AND(AC365=1,OR(I365="FULL",J365="FULL")),1,0)</x:f>
        <x:v>0</x:v>
      </x:c>
      <x:c r="AF365" s="21"/>
    </x:row>
    <x:row r="366">
      <x:c r="H366" s="21"/>
      <x:c r="K366" s="21"/>
      <x:c r="L366" s="21"/>
      <x:c r="Z366" t="str">
        <x:f>IF(A366="","",IF(M366="EXCLUDED","EXCLUDED",IF(M366&lt;&gt;"VERIFIED","UNREVIEWED",IF(OR(H366="",I366="UNASSESSABLE",J366="UNASSESSABLE"),"UNSCORABLE",IF(H366&gt;=L366,IF(J366="FULL","CORRECT","PENDING"),IF(I366="FULL","CORRECT",IF(J366="FULL","LATE",IF(OR(I366="PARTIAL",J366="PARTIAL"),"PARTIAL","WRONG / MISSED"))))))))</x:f>
      </x:c>
      <x:c r="AA366" t="str">
        <x:f>IF(OR(A366="",M366&lt;&gt;"VERIFIED",H366="",K366="",J366&lt;&gt;"FULL"),"",K366-H366)</x:f>
      </x:c>
      <x:c r="AB366" t="str">
        <x:f>IF(OR(A366="",M366&lt;&gt;"VERIFIED",H366="",H366&gt;=L366,J366="FULL",J366="UNASSESSABLE"),"",L366-H366)</x:f>
      </x:c>
      <x:c r="AC366" t="n">
        <x:f>IF(AND(A366&lt;&gt;"",M366="VERIFIED",N366="YES",H366&lt;&gt;"",H366&lt;L366,I366&lt;&gt;"UNASSESSABLE",I366&lt;&gt;"UNREVIEWED",I366&lt;&gt;"NOT_DUE"),1,0)</x:f>
        <x:v>0</x:v>
      </x:c>
      <x:c r="AD366" t="n">
        <x:f>IF(AND(AC366=1,I366="FULL"),1,0)</x:f>
        <x:v>0</x:v>
      </x:c>
      <x:c r="AE366" t="n">
        <x:f>IF(AND(AC366=1,OR(I366="FULL",J366="FULL")),1,0)</x:f>
        <x:v>0</x:v>
      </x:c>
      <x:c r="AF366" s="21"/>
    </x:row>
    <x:row r="367">
      <x:c r="H367" s="21"/>
      <x:c r="K367" s="21"/>
      <x:c r="L367" s="21"/>
      <x:c r="Z367" t="str">
        <x:f>IF(A367="","",IF(M367="EXCLUDED","EXCLUDED",IF(M367&lt;&gt;"VERIFIED","UNREVIEWED",IF(OR(H367="",I367="UNASSESSABLE",J367="UNASSESSABLE"),"UNSCORABLE",IF(H367&gt;=L367,IF(J367="FULL","CORRECT","PENDING"),IF(I367="FULL","CORRECT",IF(J367="FULL","LATE",IF(OR(I367="PARTIAL",J367="PARTIAL"),"PARTIAL","WRONG / MISSED"))))))))</x:f>
      </x:c>
      <x:c r="AA367" t="str">
        <x:f>IF(OR(A367="",M367&lt;&gt;"VERIFIED",H367="",K367="",J367&lt;&gt;"FULL"),"",K367-H367)</x:f>
      </x:c>
      <x:c r="AB367" t="str">
        <x:f>IF(OR(A367="",M367&lt;&gt;"VERIFIED",H367="",H367&gt;=L367,J367="FULL",J367="UNASSESSABLE"),"",L367-H367)</x:f>
      </x:c>
      <x:c r="AC367" t="n">
        <x:f>IF(AND(A367&lt;&gt;"",M367="VERIFIED",N367="YES",H367&lt;&gt;"",H367&lt;L367,I367&lt;&gt;"UNASSESSABLE",I367&lt;&gt;"UNREVIEWED",I367&lt;&gt;"NOT_DUE"),1,0)</x:f>
        <x:v>0</x:v>
      </x:c>
      <x:c r="AD367" t="n">
        <x:f>IF(AND(AC367=1,I367="FULL"),1,0)</x:f>
        <x:v>0</x:v>
      </x:c>
      <x:c r="AE367" t="n">
        <x:f>IF(AND(AC367=1,OR(I367="FULL",J367="FULL")),1,0)</x:f>
        <x:v>0</x:v>
      </x:c>
      <x:c r="AF367" s="21"/>
    </x:row>
    <x:row r="368">
      <x:c r="H368" s="21"/>
      <x:c r="K368" s="21"/>
      <x:c r="L368" s="21"/>
      <x:c r="Z368" t="str">
        <x:f>IF(A368="","",IF(M368="EXCLUDED","EXCLUDED",IF(M368&lt;&gt;"VERIFIED","UNREVIEWED",IF(OR(H368="",I368="UNASSESSABLE",J368="UNASSESSABLE"),"UNSCORABLE",IF(H368&gt;=L368,IF(J368="FULL","CORRECT","PENDING"),IF(I368="FULL","CORRECT",IF(J368="FULL","LATE",IF(OR(I368="PARTIAL",J368="PARTIAL"),"PARTIAL","WRONG / MISSED"))))))))</x:f>
      </x:c>
      <x:c r="AA368" t="str">
        <x:f>IF(OR(A368="",M368&lt;&gt;"VERIFIED",H368="",K368="",J368&lt;&gt;"FULL"),"",K368-H368)</x:f>
      </x:c>
      <x:c r="AB368" t="str">
        <x:f>IF(OR(A368="",M368&lt;&gt;"VERIFIED",H368="",H368&gt;=L368,J368="FULL",J368="UNASSESSABLE"),"",L368-H368)</x:f>
      </x:c>
      <x:c r="AC368" t="n">
        <x:f>IF(AND(A368&lt;&gt;"",M368="VERIFIED",N368="YES",H368&lt;&gt;"",H368&lt;L368,I368&lt;&gt;"UNASSESSABLE",I368&lt;&gt;"UNREVIEWED",I368&lt;&gt;"NOT_DUE"),1,0)</x:f>
        <x:v>0</x:v>
      </x:c>
      <x:c r="AD368" t="n">
        <x:f>IF(AND(AC368=1,I368="FULL"),1,0)</x:f>
        <x:v>0</x:v>
      </x:c>
      <x:c r="AE368" t="n">
        <x:f>IF(AND(AC368=1,OR(I368="FULL",J368="FULL")),1,0)</x:f>
        <x:v>0</x:v>
      </x:c>
      <x:c r="AF368" s="21"/>
    </x:row>
    <x:row r="369">
      <x:c r="H369" s="21"/>
      <x:c r="K369" s="21"/>
      <x:c r="L369" s="21"/>
      <x:c r="Z369" t="str">
        <x:f>IF(A369="","",IF(M369="EXCLUDED","EXCLUDED",IF(M369&lt;&gt;"VERIFIED","UNREVIEWED",IF(OR(H369="",I369="UNASSESSABLE",J369="UNASSESSABLE"),"UNSCORABLE",IF(H369&gt;=L369,IF(J369="FULL","CORRECT","PENDING"),IF(I369="FULL","CORRECT",IF(J369="FULL","LATE",IF(OR(I369="PARTIAL",J369="PARTIAL"),"PARTIAL","WRONG / MISSED"))))))))</x:f>
      </x:c>
      <x:c r="AA369" t="str">
        <x:f>IF(OR(A369="",M369&lt;&gt;"VERIFIED",H369="",K369="",J369&lt;&gt;"FULL"),"",K369-H369)</x:f>
      </x:c>
      <x:c r="AB369" t="str">
        <x:f>IF(OR(A369="",M369&lt;&gt;"VERIFIED",H369="",H369&gt;=L369,J369="FULL",J369="UNASSESSABLE"),"",L369-H369)</x:f>
      </x:c>
      <x:c r="AC369" t="n">
        <x:f>IF(AND(A369&lt;&gt;"",M369="VERIFIED",N369="YES",H369&lt;&gt;"",H369&lt;L369,I369&lt;&gt;"UNASSESSABLE",I369&lt;&gt;"UNREVIEWED",I369&lt;&gt;"NOT_DUE"),1,0)</x:f>
        <x:v>0</x:v>
      </x:c>
      <x:c r="AD369" t="n">
        <x:f>IF(AND(AC369=1,I369="FULL"),1,0)</x:f>
        <x:v>0</x:v>
      </x:c>
      <x:c r="AE369" t="n">
        <x:f>IF(AND(AC369=1,OR(I369="FULL",J369="FULL")),1,0)</x:f>
        <x:v>0</x:v>
      </x:c>
      <x:c r="AF369" s="21"/>
    </x:row>
    <x:row r="370">
      <x:c r="H370" s="21"/>
      <x:c r="K370" s="21"/>
      <x:c r="L370" s="21"/>
      <x:c r="Z370" t="str">
        <x:f>IF(A370="","",IF(M370="EXCLUDED","EXCLUDED",IF(M370&lt;&gt;"VERIFIED","UNREVIEWED",IF(OR(H370="",I370="UNASSESSABLE",J370="UNASSESSABLE"),"UNSCORABLE",IF(H370&gt;=L370,IF(J370="FULL","CORRECT","PENDING"),IF(I370="FULL","CORRECT",IF(J370="FULL","LATE",IF(OR(I370="PARTIAL",J370="PARTIAL"),"PARTIAL","WRONG / MISSED"))))))))</x:f>
      </x:c>
      <x:c r="AA370" t="str">
        <x:f>IF(OR(A370="",M370&lt;&gt;"VERIFIED",H370="",K370="",J370&lt;&gt;"FULL"),"",K370-H370)</x:f>
      </x:c>
      <x:c r="AB370" t="str">
        <x:f>IF(OR(A370="",M370&lt;&gt;"VERIFIED",H370="",H370&gt;=L370,J370="FULL",J370="UNASSESSABLE"),"",L370-H370)</x:f>
      </x:c>
      <x:c r="AC370" t="n">
        <x:f>IF(AND(A370&lt;&gt;"",M370="VERIFIED",N370="YES",H370&lt;&gt;"",H370&lt;L370,I370&lt;&gt;"UNASSESSABLE",I370&lt;&gt;"UNREVIEWED",I370&lt;&gt;"NOT_DUE"),1,0)</x:f>
        <x:v>0</x:v>
      </x:c>
      <x:c r="AD370" t="n">
        <x:f>IF(AND(AC370=1,I370="FULL"),1,0)</x:f>
        <x:v>0</x:v>
      </x:c>
      <x:c r="AE370" t="n">
        <x:f>IF(AND(AC370=1,OR(I370="FULL",J370="FULL")),1,0)</x:f>
        <x:v>0</x:v>
      </x:c>
      <x:c r="AF370" s="21"/>
    </x:row>
    <x:row r="371">
      <x:c r="H371" s="21"/>
      <x:c r="K371" s="21"/>
      <x:c r="L371" s="21"/>
      <x:c r="Z371" t="str">
        <x:f>IF(A371="","",IF(M371="EXCLUDED","EXCLUDED",IF(M371&lt;&gt;"VERIFIED","UNREVIEWED",IF(OR(H371="",I371="UNASSESSABLE",J371="UNASSESSABLE"),"UNSCORABLE",IF(H371&gt;=L371,IF(J371="FULL","CORRECT","PENDING"),IF(I371="FULL","CORRECT",IF(J371="FULL","LATE",IF(OR(I371="PARTIAL",J371="PARTIAL"),"PARTIAL","WRONG / MISSED"))))))))</x:f>
      </x:c>
      <x:c r="AA371" t="str">
        <x:f>IF(OR(A371="",M371&lt;&gt;"VERIFIED",H371="",K371="",J371&lt;&gt;"FULL"),"",K371-H371)</x:f>
      </x:c>
      <x:c r="AB371" t="str">
        <x:f>IF(OR(A371="",M371&lt;&gt;"VERIFIED",H371="",H371&gt;=L371,J371="FULL",J371="UNASSESSABLE"),"",L371-H371)</x:f>
      </x:c>
      <x:c r="AC371" t="n">
        <x:f>IF(AND(A371&lt;&gt;"",M371="VERIFIED",N371="YES",H371&lt;&gt;"",H371&lt;L371,I371&lt;&gt;"UNASSESSABLE",I371&lt;&gt;"UNREVIEWED",I371&lt;&gt;"NOT_DUE"),1,0)</x:f>
        <x:v>0</x:v>
      </x:c>
      <x:c r="AD371" t="n">
        <x:f>IF(AND(AC371=1,I371="FULL"),1,0)</x:f>
        <x:v>0</x:v>
      </x:c>
      <x:c r="AE371" t="n">
        <x:f>IF(AND(AC371=1,OR(I371="FULL",J371="FULL")),1,0)</x:f>
        <x:v>0</x:v>
      </x:c>
      <x:c r="AF371" s="21"/>
    </x:row>
    <x:row r="372">
      <x:c r="H372" s="21"/>
      <x:c r="K372" s="21"/>
      <x:c r="L372" s="21"/>
      <x:c r="Z372" t="str">
        <x:f>IF(A372="","",IF(M372="EXCLUDED","EXCLUDED",IF(M372&lt;&gt;"VERIFIED","UNREVIEWED",IF(OR(H372="",I372="UNASSESSABLE",J372="UNASSESSABLE"),"UNSCORABLE",IF(H372&gt;=L372,IF(J372="FULL","CORRECT","PENDING"),IF(I372="FULL","CORRECT",IF(J372="FULL","LATE",IF(OR(I372="PARTIAL",J372="PARTIAL"),"PARTIAL","WRONG / MISSED"))))))))</x:f>
      </x:c>
      <x:c r="AA372" t="str">
        <x:f>IF(OR(A372="",M372&lt;&gt;"VERIFIED",H372="",K372="",J372&lt;&gt;"FULL"),"",K372-H372)</x:f>
      </x:c>
      <x:c r="AB372" t="str">
        <x:f>IF(OR(A372="",M372&lt;&gt;"VERIFIED",H372="",H372&gt;=L372,J372="FULL",J372="UNASSESSABLE"),"",L372-H372)</x:f>
      </x:c>
      <x:c r="AC372" t="n">
        <x:f>IF(AND(A372&lt;&gt;"",M372="VERIFIED",N372="YES",H372&lt;&gt;"",H372&lt;L372,I372&lt;&gt;"UNASSESSABLE",I372&lt;&gt;"UNREVIEWED",I372&lt;&gt;"NOT_DUE"),1,0)</x:f>
        <x:v>0</x:v>
      </x:c>
      <x:c r="AD372" t="n">
        <x:f>IF(AND(AC372=1,I372="FULL"),1,0)</x:f>
        <x:v>0</x:v>
      </x:c>
      <x:c r="AE372" t="n">
        <x:f>IF(AND(AC372=1,OR(I372="FULL",J372="FULL")),1,0)</x:f>
        <x:v>0</x:v>
      </x:c>
      <x:c r="AF372" s="21"/>
    </x:row>
    <x:row r="373">
      <x:c r="H373" s="21"/>
      <x:c r="K373" s="21"/>
      <x:c r="L373" s="21"/>
      <x:c r="Z373" t="str">
        <x:f>IF(A373="","",IF(M373="EXCLUDED","EXCLUDED",IF(M373&lt;&gt;"VERIFIED","UNREVIEWED",IF(OR(H373="",I373="UNASSESSABLE",J373="UNASSESSABLE"),"UNSCORABLE",IF(H373&gt;=L373,IF(J373="FULL","CORRECT","PENDING"),IF(I373="FULL","CORRECT",IF(J373="FULL","LATE",IF(OR(I373="PARTIAL",J373="PARTIAL"),"PARTIAL","WRONG / MISSED"))))))))</x:f>
      </x:c>
      <x:c r="AA373" t="str">
        <x:f>IF(OR(A373="",M373&lt;&gt;"VERIFIED",H373="",K373="",J373&lt;&gt;"FULL"),"",K373-H373)</x:f>
      </x:c>
      <x:c r="AB373" t="str">
        <x:f>IF(OR(A373="",M373&lt;&gt;"VERIFIED",H373="",H373&gt;=L373,J373="FULL",J373="UNASSESSABLE"),"",L373-H373)</x:f>
      </x:c>
      <x:c r="AC373" t="n">
        <x:f>IF(AND(A373&lt;&gt;"",M373="VERIFIED",N373="YES",H373&lt;&gt;"",H373&lt;L373,I373&lt;&gt;"UNASSESSABLE",I373&lt;&gt;"UNREVIEWED",I373&lt;&gt;"NOT_DUE"),1,0)</x:f>
        <x:v>0</x:v>
      </x:c>
      <x:c r="AD373" t="n">
        <x:f>IF(AND(AC373=1,I373="FULL"),1,0)</x:f>
        <x:v>0</x:v>
      </x:c>
      <x:c r="AE373" t="n">
        <x:f>IF(AND(AC373=1,OR(I373="FULL",J373="FULL")),1,0)</x:f>
        <x:v>0</x:v>
      </x:c>
      <x:c r="AF373" s="21"/>
    </x:row>
    <x:row r="374">
      <x:c r="H374" s="21"/>
      <x:c r="K374" s="21"/>
      <x:c r="L374" s="21"/>
      <x:c r="Z374" t="str">
        <x:f>IF(A374="","",IF(M374="EXCLUDED","EXCLUDED",IF(M374&lt;&gt;"VERIFIED","UNREVIEWED",IF(OR(H374="",I374="UNASSESSABLE",J374="UNASSESSABLE"),"UNSCORABLE",IF(H374&gt;=L374,IF(J374="FULL","CORRECT","PENDING"),IF(I374="FULL","CORRECT",IF(J374="FULL","LATE",IF(OR(I374="PARTIAL",J374="PARTIAL"),"PARTIAL","WRONG / MISSED"))))))))</x:f>
      </x:c>
      <x:c r="AA374" t="str">
        <x:f>IF(OR(A374="",M374&lt;&gt;"VERIFIED",H374="",K374="",J374&lt;&gt;"FULL"),"",K374-H374)</x:f>
      </x:c>
      <x:c r="AB374" t="str">
        <x:f>IF(OR(A374="",M374&lt;&gt;"VERIFIED",H374="",H374&gt;=L374,J374="FULL",J374="UNASSESSABLE"),"",L374-H374)</x:f>
      </x:c>
      <x:c r="AC374" t="n">
        <x:f>IF(AND(A374&lt;&gt;"",M374="VERIFIED",N374="YES",H374&lt;&gt;"",H374&lt;L374,I374&lt;&gt;"UNASSESSABLE",I374&lt;&gt;"UNREVIEWED",I374&lt;&gt;"NOT_DUE"),1,0)</x:f>
        <x:v>0</x:v>
      </x:c>
      <x:c r="AD374" t="n">
        <x:f>IF(AND(AC374=1,I374="FULL"),1,0)</x:f>
        <x:v>0</x:v>
      </x:c>
      <x:c r="AE374" t="n">
        <x:f>IF(AND(AC374=1,OR(I374="FULL",J374="FULL")),1,0)</x:f>
        <x:v>0</x:v>
      </x:c>
      <x:c r="AF374" s="21"/>
    </x:row>
    <x:row r="375">
      <x:c r="H375" s="21"/>
      <x:c r="K375" s="21"/>
      <x:c r="L375" s="21"/>
      <x:c r="Z375" t="str">
        <x:f>IF(A375="","",IF(M375="EXCLUDED","EXCLUDED",IF(M375&lt;&gt;"VERIFIED","UNREVIEWED",IF(OR(H375="",I375="UNASSESSABLE",J375="UNASSESSABLE"),"UNSCORABLE",IF(H375&gt;=L375,IF(J375="FULL","CORRECT","PENDING"),IF(I375="FULL","CORRECT",IF(J375="FULL","LATE",IF(OR(I375="PARTIAL",J375="PARTIAL"),"PARTIAL","WRONG / MISSED"))))))))</x:f>
      </x:c>
      <x:c r="AA375" t="str">
        <x:f>IF(OR(A375="",M375&lt;&gt;"VERIFIED",H375="",K375="",J375&lt;&gt;"FULL"),"",K375-H375)</x:f>
      </x:c>
      <x:c r="AB375" t="str">
        <x:f>IF(OR(A375="",M375&lt;&gt;"VERIFIED",H375="",H375&gt;=L375,J375="FULL",J375="UNASSESSABLE"),"",L375-H375)</x:f>
      </x:c>
      <x:c r="AC375" t="n">
        <x:f>IF(AND(A375&lt;&gt;"",M375="VERIFIED",N375="YES",H375&lt;&gt;"",H375&lt;L375,I375&lt;&gt;"UNASSESSABLE",I375&lt;&gt;"UNREVIEWED",I375&lt;&gt;"NOT_DUE"),1,0)</x:f>
        <x:v>0</x:v>
      </x:c>
      <x:c r="AD375" t="n">
        <x:f>IF(AND(AC375=1,I375="FULL"),1,0)</x:f>
        <x:v>0</x:v>
      </x:c>
      <x:c r="AE375" t="n">
        <x:f>IF(AND(AC375=1,OR(I375="FULL",J375="FULL")),1,0)</x:f>
        <x:v>0</x:v>
      </x:c>
      <x:c r="AF375" s="21"/>
    </x:row>
    <x:row r="376">
      <x:c r="H376" s="21"/>
      <x:c r="K376" s="21"/>
      <x:c r="L376" s="21"/>
      <x:c r="Z376" t="str">
        <x:f>IF(A376="","",IF(M376="EXCLUDED","EXCLUDED",IF(M376&lt;&gt;"VERIFIED","UNREVIEWED",IF(OR(H376="",I376="UNASSESSABLE",J376="UNASSESSABLE"),"UNSCORABLE",IF(H376&gt;=L376,IF(J376="FULL","CORRECT","PENDING"),IF(I376="FULL","CORRECT",IF(J376="FULL","LATE",IF(OR(I376="PARTIAL",J376="PARTIAL"),"PARTIAL","WRONG / MISSED"))))))))</x:f>
      </x:c>
      <x:c r="AA376" t="str">
        <x:f>IF(OR(A376="",M376&lt;&gt;"VERIFIED",H376="",K376="",J376&lt;&gt;"FULL"),"",K376-H376)</x:f>
      </x:c>
      <x:c r="AB376" t="str">
        <x:f>IF(OR(A376="",M376&lt;&gt;"VERIFIED",H376="",H376&gt;=L376,J376="FULL",J376="UNASSESSABLE"),"",L376-H376)</x:f>
      </x:c>
      <x:c r="AC376" t="n">
        <x:f>IF(AND(A376&lt;&gt;"",M376="VERIFIED",N376="YES",H376&lt;&gt;"",H376&lt;L376,I376&lt;&gt;"UNASSESSABLE",I376&lt;&gt;"UNREVIEWED",I376&lt;&gt;"NOT_DUE"),1,0)</x:f>
        <x:v>0</x:v>
      </x:c>
      <x:c r="AD376" t="n">
        <x:f>IF(AND(AC376=1,I376="FULL"),1,0)</x:f>
        <x:v>0</x:v>
      </x:c>
      <x:c r="AE376" t="n">
        <x:f>IF(AND(AC376=1,OR(I376="FULL",J376="FULL")),1,0)</x:f>
        <x:v>0</x:v>
      </x:c>
      <x:c r="AF376" s="21"/>
    </x:row>
    <x:row r="377">
      <x:c r="H377" s="21"/>
      <x:c r="K377" s="21"/>
      <x:c r="L377" s="21"/>
      <x:c r="Z377" t="str">
        <x:f>IF(A377="","",IF(M377="EXCLUDED","EXCLUDED",IF(M377&lt;&gt;"VERIFIED","UNREVIEWED",IF(OR(H377="",I377="UNASSESSABLE",J377="UNASSESSABLE"),"UNSCORABLE",IF(H377&gt;=L377,IF(J377="FULL","CORRECT","PENDING"),IF(I377="FULL","CORRECT",IF(J377="FULL","LATE",IF(OR(I377="PARTIAL",J377="PARTIAL"),"PARTIAL","WRONG / MISSED"))))))))</x:f>
      </x:c>
      <x:c r="AA377" t="str">
        <x:f>IF(OR(A377="",M377&lt;&gt;"VERIFIED",H377="",K377="",J377&lt;&gt;"FULL"),"",K377-H377)</x:f>
      </x:c>
      <x:c r="AB377" t="str">
        <x:f>IF(OR(A377="",M377&lt;&gt;"VERIFIED",H377="",H377&gt;=L377,J377="FULL",J377="UNASSESSABLE"),"",L377-H377)</x:f>
      </x:c>
      <x:c r="AC377" t="n">
        <x:f>IF(AND(A377&lt;&gt;"",M377="VERIFIED",N377="YES",H377&lt;&gt;"",H377&lt;L377,I377&lt;&gt;"UNASSESSABLE",I377&lt;&gt;"UNREVIEWED",I377&lt;&gt;"NOT_DUE"),1,0)</x:f>
        <x:v>0</x:v>
      </x:c>
      <x:c r="AD377" t="n">
        <x:f>IF(AND(AC377=1,I377="FULL"),1,0)</x:f>
        <x:v>0</x:v>
      </x:c>
      <x:c r="AE377" t="n">
        <x:f>IF(AND(AC377=1,OR(I377="FULL",J377="FULL")),1,0)</x:f>
        <x:v>0</x:v>
      </x:c>
      <x:c r="AF377" s="21"/>
    </x:row>
    <x:row r="378">
      <x:c r="H378" s="21"/>
      <x:c r="K378" s="21"/>
      <x:c r="L378" s="21"/>
      <x:c r="Z378" t="str">
        <x:f>IF(A378="","",IF(M378="EXCLUDED","EXCLUDED",IF(M378&lt;&gt;"VERIFIED","UNREVIEWED",IF(OR(H378="",I378="UNASSESSABLE",J378="UNASSESSABLE"),"UNSCORABLE",IF(H378&gt;=L378,IF(J378="FULL","CORRECT","PENDING"),IF(I378="FULL","CORRECT",IF(J378="FULL","LATE",IF(OR(I378="PARTIAL",J378="PARTIAL"),"PARTIAL","WRONG / MISSED"))))))))</x:f>
      </x:c>
      <x:c r="AA378" t="str">
        <x:f>IF(OR(A378="",M378&lt;&gt;"VERIFIED",H378="",K378="",J378&lt;&gt;"FULL"),"",K378-H378)</x:f>
      </x:c>
      <x:c r="AB378" t="str">
        <x:f>IF(OR(A378="",M378&lt;&gt;"VERIFIED",H378="",H378&gt;=L378,J378="FULL",J378="UNASSESSABLE"),"",L378-H378)</x:f>
      </x:c>
      <x:c r="AC378" t="n">
        <x:f>IF(AND(A378&lt;&gt;"",M378="VERIFIED",N378="YES",H378&lt;&gt;"",H378&lt;L378,I378&lt;&gt;"UNASSESSABLE",I378&lt;&gt;"UNREVIEWED",I378&lt;&gt;"NOT_DUE"),1,0)</x:f>
        <x:v>0</x:v>
      </x:c>
      <x:c r="AD378" t="n">
        <x:f>IF(AND(AC378=1,I378="FULL"),1,0)</x:f>
        <x:v>0</x:v>
      </x:c>
      <x:c r="AE378" t="n">
        <x:f>IF(AND(AC378=1,OR(I378="FULL",J378="FULL")),1,0)</x:f>
        <x:v>0</x:v>
      </x:c>
      <x:c r="AF378" s="21"/>
    </x:row>
    <x:row r="379">
      <x:c r="H379" s="21"/>
      <x:c r="K379" s="21"/>
      <x:c r="L379" s="21"/>
      <x:c r="Z379" t="str">
        <x:f>IF(A379="","",IF(M379="EXCLUDED","EXCLUDED",IF(M379&lt;&gt;"VERIFIED","UNREVIEWED",IF(OR(H379="",I379="UNASSESSABLE",J379="UNASSESSABLE"),"UNSCORABLE",IF(H379&gt;=L379,IF(J379="FULL","CORRECT","PENDING"),IF(I379="FULL","CORRECT",IF(J379="FULL","LATE",IF(OR(I379="PARTIAL",J379="PARTIAL"),"PARTIAL","WRONG / MISSED"))))))))</x:f>
      </x:c>
      <x:c r="AA379" t="str">
        <x:f>IF(OR(A379="",M379&lt;&gt;"VERIFIED",H379="",K379="",J379&lt;&gt;"FULL"),"",K379-H379)</x:f>
      </x:c>
      <x:c r="AB379" t="str">
        <x:f>IF(OR(A379="",M379&lt;&gt;"VERIFIED",H379="",H379&gt;=L379,J379="FULL",J379="UNASSESSABLE"),"",L379-H379)</x:f>
      </x:c>
      <x:c r="AC379" t="n">
        <x:f>IF(AND(A379&lt;&gt;"",M379="VERIFIED",N379="YES",H379&lt;&gt;"",H379&lt;L379,I379&lt;&gt;"UNASSESSABLE",I379&lt;&gt;"UNREVIEWED",I379&lt;&gt;"NOT_DUE"),1,0)</x:f>
        <x:v>0</x:v>
      </x:c>
      <x:c r="AD379" t="n">
        <x:f>IF(AND(AC379=1,I379="FULL"),1,0)</x:f>
        <x:v>0</x:v>
      </x:c>
      <x:c r="AE379" t="n">
        <x:f>IF(AND(AC379=1,OR(I379="FULL",J379="FULL")),1,0)</x:f>
        <x:v>0</x:v>
      </x:c>
      <x:c r="AF379" s="21"/>
    </x:row>
    <x:row r="380">
      <x:c r="H380" s="21"/>
      <x:c r="K380" s="21"/>
      <x:c r="L380" s="21"/>
      <x:c r="Z380" t="str">
        <x:f>IF(A380="","",IF(M380="EXCLUDED","EXCLUDED",IF(M380&lt;&gt;"VERIFIED","UNREVIEWED",IF(OR(H380="",I380="UNASSESSABLE",J380="UNASSESSABLE"),"UNSCORABLE",IF(H380&gt;=L380,IF(J380="FULL","CORRECT","PENDING"),IF(I380="FULL","CORRECT",IF(J380="FULL","LATE",IF(OR(I380="PARTIAL",J380="PARTIAL"),"PARTIAL","WRONG / MISSED"))))))))</x:f>
      </x:c>
      <x:c r="AA380" t="str">
        <x:f>IF(OR(A380="",M380&lt;&gt;"VERIFIED",H380="",K380="",J380&lt;&gt;"FULL"),"",K380-H380)</x:f>
      </x:c>
      <x:c r="AB380" t="str">
        <x:f>IF(OR(A380="",M380&lt;&gt;"VERIFIED",H380="",H380&gt;=L380,J380="FULL",J380="UNASSESSABLE"),"",L380-H380)</x:f>
      </x:c>
      <x:c r="AC380" t="n">
        <x:f>IF(AND(A380&lt;&gt;"",M380="VERIFIED",N380="YES",H380&lt;&gt;"",H380&lt;L380,I380&lt;&gt;"UNASSESSABLE",I380&lt;&gt;"UNREVIEWED",I380&lt;&gt;"NOT_DUE"),1,0)</x:f>
        <x:v>0</x:v>
      </x:c>
      <x:c r="AD380" t="n">
        <x:f>IF(AND(AC380=1,I380="FULL"),1,0)</x:f>
        <x:v>0</x:v>
      </x:c>
      <x:c r="AE380" t="n">
        <x:f>IF(AND(AC380=1,OR(I380="FULL",J380="FULL")),1,0)</x:f>
        <x:v>0</x:v>
      </x:c>
      <x:c r="AF380" s="21"/>
    </x:row>
    <x:row r="381">
      <x:c r="H381" s="21"/>
      <x:c r="K381" s="21"/>
      <x:c r="L381" s="21"/>
      <x:c r="Z381" t="str">
        <x:f>IF(A381="","",IF(M381="EXCLUDED","EXCLUDED",IF(M381&lt;&gt;"VERIFIED","UNREVIEWED",IF(OR(H381="",I381="UNASSESSABLE",J381="UNASSESSABLE"),"UNSCORABLE",IF(H381&gt;=L381,IF(J381="FULL","CORRECT","PENDING"),IF(I381="FULL","CORRECT",IF(J381="FULL","LATE",IF(OR(I381="PARTIAL",J381="PARTIAL"),"PARTIAL","WRONG / MISSED"))))))))</x:f>
      </x:c>
      <x:c r="AA381" t="str">
        <x:f>IF(OR(A381="",M381&lt;&gt;"VERIFIED",H381="",K381="",J381&lt;&gt;"FULL"),"",K381-H381)</x:f>
      </x:c>
      <x:c r="AB381" t="str">
        <x:f>IF(OR(A381="",M381&lt;&gt;"VERIFIED",H381="",H381&gt;=L381,J381="FULL",J381="UNASSESSABLE"),"",L381-H381)</x:f>
      </x:c>
      <x:c r="AC381" t="n">
        <x:f>IF(AND(A381&lt;&gt;"",M381="VERIFIED",N381="YES",H381&lt;&gt;"",H381&lt;L381,I381&lt;&gt;"UNASSESSABLE",I381&lt;&gt;"UNREVIEWED",I381&lt;&gt;"NOT_DUE"),1,0)</x:f>
        <x:v>0</x:v>
      </x:c>
      <x:c r="AD381" t="n">
        <x:f>IF(AND(AC381=1,I381="FULL"),1,0)</x:f>
        <x:v>0</x:v>
      </x:c>
      <x:c r="AE381" t="n">
        <x:f>IF(AND(AC381=1,OR(I381="FULL",J381="FULL")),1,0)</x:f>
        <x:v>0</x:v>
      </x:c>
      <x:c r="AF381" s="21"/>
    </x:row>
    <x:row r="382">
      <x:c r="H382" s="21"/>
      <x:c r="K382" s="21"/>
      <x:c r="L382" s="21"/>
      <x:c r="Z382" t="str">
        <x:f>IF(A382="","",IF(M382="EXCLUDED","EXCLUDED",IF(M382&lt;&gt;"VERIFIED","UNREVIEWED",IF(OR(H382="",I382="UNASSESSABLE",J382="UNASSESSABLE"),"UNSCORABLE",IF(H382&gt;=L382,IF(J382="FULL","CORRECT","PENDING"),IF(I382="FULL","CORRECT",IF(J382="FULL","LATE",IF(OR(I382="PARTIAL",J382="PARTIAL"),"PARTIAL","WRONG / MISSED"))))))))</x:f>
      </x:c>
      <x:c r="AA382" t="str">
        <x:f>IF(OR(A382="",M382&lt;&gt;"VERIFIED",H382="",K382="",J382&lt;&gt;"FULL"),"",K382-H382)</x:f>
      </x:c>
      <x:c r="AB382" t="str">
        <x:f>IF(OR(A382="",M382&lt;&gt;"VERIFIED",H382="",H382&gt;=L382,J382="FULL",J382="UNASSESSABLE"),"",L382-H382)</x:f>
      </x:c>
      <x:c r="AC382" t="n">
        <x:f>IF(AND(A382&lt;&gt;"",M382="VERIFIED",N382="YES",H382&lt;&gt;"",H382&lt;L382,I382&lt;&gt;"UNASSESSABLE",I382&lt;&gt;"UNREVIEWED",I382&lt;&gt;"NOT_DUE"),1,0)</x:f>
        <x:v>0</x:v>
      </x:c>
      <x:c r="AD382" t="n">
        <x:f>IF(AND(AC382=1,I382="FULL"),1,0)</x:f>
        <x:v>0</x:v>
      </x:c>
      <x:c r="AE382" t="n">
        <x:f>IF(AND(AC382=1,OR(I382="FULL",J382="FULL")),1,0)</x:f>
        <x:v>0</x:v>
      </x:c>
      <x:c r="AF382" s="21"/>
    </x:row>
    <x:row r="383">
      <x:c r="H383" s="21"/>
      <x:c r="K383" s="21"/>
      <x:c r="L383" s="21"/>
      <x:c r="Z383" t="str">
        <x:f>IF(A383="","",IF(M383="EXCLUDED","EXCLUDED",IF(M383&lt;&gt;"VERIFIED","UNREVIEWED",IF(OR(H383="",I383="UNASSESSABLE",J383="UNASSESSABLE"),"UNSCORABLE",IF(H383&gt;=L383,IF(J383="FULL","CORRECT","PENDING"),IF(I383="FULL","CORRECT",IF(J383="FULL","LATE",IF(OR(I383="PARTIAL",J383="PARTIAL"),"PARTIAL","WRONG / MISSED"))))))))</x:f>
      </x:c>
      <x:c r="AA383" t="str">
        <x:f>IF(OR(A383="",M383&lt;&gt;"VERIFIED",H383="",K383="",J383&lt;&gt;"FULL"),"",K383-H383)</x:f>
      </x:c>
      <x:c r="AB383" t="str">
        <x:f>IF(OR(A383="",M383&lt;&gt;"VERIFIED",H383="",H383&gt;=L383,J383="FULL",J383="UNASSESSABLE"),"",L383-H383)</x:f>
      </x:c>
      <x:c r="AC383" t="n">
        <x:f>IF(AND(A383&lt;&gt;"",M383="VERIFIED",N383="YES",H383&lt;&gt;"",H383&lt;L383,I383&lt;&gt;"UNASSESSABLE",I383&lt;&gt;"UNREVIEWED",I383&lt;&gt;"NOT_DUE"),1,0)</x:f>
        <x:v>0</x:v>
      </x:c>
      <x:c r="AD383" t="n">
        <x:f>IF(AND(AC383=1,I383="FULL"),1,0)</x:f>
        <x:v>0</x:v>
      </x:c>
      <x:c r="AE383" t="n">
        <x:f>IF(AND(AC383=1,OR(I383="FULL",J383="FULL")),1,0)</x:f>
        <x:v>0</x:v>
      </x:c>
      <x:c r="AF383" s="21"/>
    </x:row>
    <x:row r="384">
      <x:c r="H384" s="21"/>
      <x:c r="K384" s="21"/>
      <x:c r="L384" s="21"/>
      <x:c r="Z384" t="str">
        <x:f>IF(A384="","",IF(M384="EXCLUDED","EXCLUDED",IF(M384&lt;&gt;"VERIFIED","UNREVIEWED",IF(OR(H384="",I384="UNASSESSABLE",J384="UNASSESSABLE"),"UNSCORABLE",IF(H384&gt;=L384,IF(J384="FULL","CORRECT","PENDING"),IF(I384="FULL","CORRECT",IF(J384="FULL","LATE",IF(OR(I384="PARTIAL",J384="PARTIAL"),"PARTIAL","WRONG / MISSED"))))))))</x:f>
      </x:c>
      <x:c r="AA384" t="str">
        <x:f>IF(OR(A384="",M384&lt;&gt;"VERIFIED",H384="",K384="",J384&lt;&gt;"FULL"),"",K384-H384)</x:f>
      </x:c>
      <x:c r="AB384" t="str">
        <x:f>IF(OR(A384="",M384&lt;&gt;"VERIFIED",H384="",H384&gt;=L384,J384="FULL",J384="UNASSESSABLE"),"",L384-H384)</x:f>
      </x:c>
      <x:c r="AC384" t="n">
        <x:f>IF(AND(A384&lt;&gt;"",M384="VERIFIED",N384="YES",H384&lt;&gt;"",H384&lt;L384,I384&lt;&gt;"UNASSESSABLE",I384&lt;&gt;"UNREVIEWED",I384&lt;&gt;"NOT_DUE"),1,0)</x:f>
        <x:v>0</x:v>
      </x:c>
      <x:c r="AD384" t="n">
        <x:f>IF(AND(AC384=1,I384="FULL"),1,0)</x:f>
        <x:v>0</x:v>
      </x:c>
      <x:c r="AE384" t="n">
        <x:f>IF(AND(AC384=1,OR(I384="FULL",J384="FULL")),1,0)</x:f>
        <x:v>0</x:v>
      </x:c>
      <x:c r="AF384" s="21"/>
    </x:row>
    <x:row r="385">
      <x:c r="H385" s="21"/>
      <x:c r="K385" s="21"/>
      <x:c r="L385" s="21"/>
      <x:c r="Z385" t="str">
        <x:f>IF(A385="","",IF(M385="EXCLUDED","EXCLUDED",IF(M385&lt;&gt;"VERIFIED","UNREVIEWED",IF(OR(H385="",I385="UNASSESSABLE",J385="UNASSESSABLE"),"UNSCORABLE",IF(H385&gt;=L385,IF(J385="FULL","CORRECT","PENDING"),IF(I385="FULL","CORRECT",IF(J385="FULL","LATE",IF(OR(I385="PARTIAL",J385="PARTIAL"),"PARTIAL","WRONG / MISSED"))))))))</x:f>
      </x:c>
      <x:c r="AA385" t="str">
        <x:f>IF(OR(A385="",M385&lt;&gt;"VERIFIED",H385="",K385="",J385&lt;&gt;"FULL"),"",K385-H385)</x:f>
      </x:c>
      <x:c r="AB385" t="str">
        <x:f>IF(OR(A385="",M385&lt;&gt;"VERIFIED",H385="",H385&gt;=L385,J385="FULL",J385="UNASSESSABLE"),"",L385-H385)</x:f>
      </x:c>
      <x:c r="AC385" t="n">
        <x:f>IF(AND(A385&lt;&gt;"",M385="VERIFIED",N385="YES",H385&lt;&gt;"",H385&lt;L385,I385&lt;&gt;"UNASSESSABLE",I385&lt;&gt;"UNREVIEWED",I385&lt;&gt;"NOT_DUE"),1,0)</x:f>
        <x:v>0</x:v>
      </x:c>
      <x:c r="AD385" t="n">
        <x:f>IF(AND(AC385=1,I385="FULL"),1,0)</x:f>
        <x:v>0</x:v>
      </x:c>
      <x:c r="AE385" t="n">
        <x:f>IF(AND(AC385=1,OR(I385="FULL",J385="FULL")),1,0)</x:f>
        <x:v>0</x:v>
      </x:c>
      <x:c r="AF385" s="21"/>
    </x:row>
    <x:row r="386">
      <x:c r="H386" s="21"/>
      <x:c r="K386" s="21"/>
      <x:c r="L386" s="21"/>
      <x:c r="Z386" t="str">
        <x:f>IF(A386="","",IF(M386="EXCLUDED","EXCLUDED",IF(M386&lt;&gt;"VERIFIED","UNREVIEWED",IF(OR(H386="",I386="UNASSESSABLE",J386="UNASSESSABLE"),"UNSCORABLE",IF(H386&gt;=L386,IF(J386="FULL","CORRECT","PENDING"),IF(I386="FULL","CORRECT",IF(J386="FULL","LATE",IF(OR(I386="PARTIAL",J386="PARTIAL"),"PARTIAL","WRONG / MISSED"))))))))</x:f>
      </x:c>
      <x:c r="AA386" t="str">
        <x:f>IF(OR(A386="",M386&lt;&gt;"VERIFIED",H386="",K386="",J386&lt;&gt;"FULL"),"",K386-H386)</x:f>
      </x:c>
      <x:c r="AB386" t="str">
        <x:f>IF(OR(A386="",M386&lt;&gt;"VERIFIED",H386="",H386&gt;=L386,J386="FULL",J386="UNASSESSABLE"),"",L386-H386)</x:f>
      </x:c>
      <x:c r="AC386" t="n">
        <x:f>IF(AND(A386&lt;&gt;"",M386="VERIFIED",N386="YES",H386&lt;&gt;"",H386&lt;L386,I386&lt;&gt;"UNASSESSABLE",I386&lt;&gt;"UNREVIEWED",I386&lt;&gt;"NOT_DUE"),1,0)</x:f>
        <x:v>0</x:v>
      </x:c>
      <x:c r="AD386" t="n">
        <x:f>IF(AND(AC386=1,I386="FULL"),1,0)</x:f>
        <x:v>0</x:v>
      </x:c>
      <x:c r="AE386" t="n">
        <x:f>IF(AND(AC386=1,OR(I386="FULL",J386="FULL")),1,0)</x:f>
        <x:v>0</x:v>
      </x:c>
      <x:c r="AF386" s="21"/>
    </x:row>
    <x:row r="387">
      <x:c r="H387" s="21"/>
      <x:c r="K387" s="21"/>
      <x:c r="L387" s="21"/>
      <x:c r="Z387" t="str">
        <x:f>IF(A387="","",IF(M387="EXCLUDED","EXCLUDED",IF(M387&lt;&gt;"VERIFIED","UNREVIEWED",IF(OR(H387="",I387="UNASSESSABLE",J387="UNASSESSABLE"),"UNSCORABLE",IF(H387&gt;=L387,IF(J387="FULL","CORRECT","PENDING"),IF(I387="FULL","CORRECT",IF(J387="FULL","LATE",IF(OR(I387="PARTIAL",J387="PARTIAL"),"PARTIAL","WRONG / MISSED"))))))))</x:f>
      </x:c>
      <x:c r="AA387" t="str">
        <x:f>IF(OR(A387="",M387&lt;&gt;"VERIFIED",H387="",K387="",J387&lt;&gt;"FULL"),"",K387-H387)</x:f>
      </x:c>
      <x:c r="AB387" t="str">
        <x:f>IF(OR(A387="",M387&lt;&gt;"VERIFIED",H387="",H387&gt;=L387,J387="FULL",J387="UNASSESSABLE"),"",L387-H387)</x:f>
      </x:c>
      <x:c r="AC387" t="n">
        <x:f>IF(AND(A387&lt;&gt;"",M387="VERIFIED",N387="YES",H387&lt;&gt;"",H387&lt;L387,I387&lt;&gt;"UNASSESSABLE",I387&lt;&gt;"UNREVIEWED",I387&lt;&gt;"NOT_DUE"),1,0)</x:f>
        <x:v>0</x:v>
      </x:c>
      <x:c r="AD387" t="n">
        <x:f>IF(AND(AC387=1,I387="FULL"),1,0)</x:f>
        <x:v>0</x:v>
      </x:c>
      <x:c r="AE387" t="n">
        <x:f>IF(AND(AC387=1,OR(I387="FULL",J387="FULL")),1,0)</x:f>
        <x:v>0</x:v>
      </x:c>
      <x:c r="AF387" s="21"/>
    </x:row>
    <x:row r="388">
      <x:c r="H388" s="21"/>
      <x:c r="K388" s="21"/>
      <x:c r="L388" s="21"/>
      <x:c r="Z388" t="str">
        <x:f>IF(A388="","",IF(M388="EXCLUDED","EXCLUDED",IF(M388&lt;&gt;"VERIFIED","UNREVIEWED",IF(OR(H388="",I388="UNASSESSABLE",J388="UNASSESSABLE"),"UNSCORABLE",IF(H388&gt;=L388,IF(J388="FULL","CORRECT","PENDING"),IF(I388="FULL","CORRECT",IF(J388="FULL","LATE",IF(OR(I388="PARTIAL",J388="PARTIAL"),"PARTIAL","WRONG / MISSED"))))))))</x:f>
      </x:c>
      <x:c r="AA388" t="str">
        <x:f>IF(OR(A388="",M388&lt;&gt;"VERIFIED",H388="",K388="",J388&lt;&gt;"FULL"),"",K388-H388)</x:f>
      </x:c>
      <x:c r="AB388" t="str">
        <x:f>IF(OR(A388="",M388&lt;&gt;"VERIFIED",H388="",H388&gt;=L388,J388="FULL",J388="UNASSESSABLE"),"",L388-H388)</x:f>
      </x:c>
      <x:c r="AC388" t="n">
        <x:f>IF(AND(A388&lt;&gt;"",M388="VERIFIED",N388="YES",H388&lt;&gt;"",H388&lt;L388,I388&lt;&gt;"UNASSESSABLE",I388&lt;&gt;"UNREVIEWED",I388&lt;&gt;"NOT_DUE"),1,0)</x:f>
        <x:v>0</x:v>
      </x:c>
      <x:c r="AD388" t="n">
        <x:f>IF(AND(AC388=1,I388="FULL"),1,0)</x:f>
        <x:v>0</x:v>
      </x:c>
      <x:c r="AE388" t="n">
        <x:f>IF(AND(AC388=1,OR(I388="FULL",J388="FULL")),1,0)</x:f>
        <x:v>0</x:v>
      </x:c>
      <x:c r="AF388" s="21"/>
    </x:row>
    <x:row r="389">
      <x:c r="H389" s="21"/>
      <x:c r="K389" s="21"/>
      <x:c r="L389" s="21"/>
      <x:c r="Z389" t="str">
        <x:f>IF(A389="","",IF(M389="EXCLUDED","EXCLUDED",IF(M389&lt;&gt;"VERIFIED","UNREVIEWED",IF(OR(H389="",I389="UNASSESSABLE",J389="UNASSESSABLE"),"UNSCORABLE",IF(H389&gt;=L389,IF(J389="FULL","CORRECT","PENDING"),IF(I389="FULL","CORRECT",IF(J389="FULL","LATE",IF(OR(I389="PARTIAL",J389="PARTIAL"),"PARTIAL","WRONG / MISSED"))))))))</x:f>
      </x:c>
      <x:c r="AA389" t="str">
        <x:f>IF(OR(A389="",M389&lt;&gt;"VERIFIED",H389="",K389="",J389&lt;&gt;"FULL"),"",K389-H389)</x:f>
      </x:c>
      <x:c r="AB389" t="str">
        <x:f>IF(OR(A389="",M389&lt;&gt;"VERIFIED",H389="",H389&gt;=L389,J389="FULL",J389="UNASSESSABLE"),"",L389-H389)</x:f>
      </x:c>
      <x:c r="AC389" t="n">
        <x:f>IF(AND(A389&lt;&gt;"",M389="VERIFIED",N389="YES",H389&lt;&gt;"",H389&lt;L389,I389&lt;&gt;"UNASSESSABLE",I389&lt;&gt;"UNREVIEWED",I389&lt;&gt;"NOT_DUE"),1,0)</x:f>
        <x:v>0</x:v>
      </x:c>
      <x:c r="AD389" t="n">
        <x:f>IF(AND(AC389=1,I389="FULL"),1,0)</x:f>
        <x:v>0</x:v>
      </x:c>
      <x:c r="AE389" t="n">
        <x:f>IF(AND(AC389=1,OR(I389="FULL",J389="FULL")),1,0)</x:f>
        <x:v>0</x:v>
      </x:c>
      <x:c r="AF389" s="21"/>
    </x:row>
    <x:row r="390">
      <x:c r="H390" s="21"/>
      <x:c r="K390" s="21"/>
      <x:c r="L390" s="21"/>
      <x:c r="Z390" t="str">
        <x:f>IF(A390="","",IF(M390="EXCLUDED","EXCLUDED",IF(M390&lt;&gt;"VERIFIED","UNREVIEWED",IF(OR(H390="",I390="UNASSESSABLE",J390="UNASSESSABLE"),"UNSCORABLE",IF(H390&gt;=L390,IF(J390="FULL","CORRECT","PENDING"),IF(I390="FULL","CORRECT",IF(J390="FULL","LATE",IF(OR(I390="PARTIAL",J390="PARTIAL"),"PARTIAL","WRONG / MISSED"))))))))</x:f>
      </x:c>
      <x:c r="AA390" t="str">
        <x:f>IF(OR(A390="",M390&lt;&gt;"VERIFIED",H390="",K390="",J390&lt;&gt;"FULL"),"",K390-H390)</x:f>
      </x:c>
      <x:c r="AB390" t="str">
        <x:f>IF(OR(A390="",M390&lt;&gt;"VERIFIED",H390="",H390&gt;=L390,J390="FULL",J390="UNASSESSABLE"),"",L390-H390)</x:f>
      </x:c>
      <x:c r="AC390" t="n">
        <x:f>IF(AND(A390&lt;&gt;"",M390="VERIFIED",N390="YES",H390&lt;&gt;"",H390&lt;L390,I390&lt;&gt;"UNASSESSABLE",I390&lt;&gt;"UNREVIEWED",I390&lt;&gt;"NOT_DUE"),1,0)</x:f>
        <x:v>0</x:v>
      </x:c>
      <x:c r="AD390" t="n">
        <x:f>IF(AND(AC390=1,I390="FULL"),1,0)</x:f>
        <x:v>0</x:v>
      </x:c>
      <x:c r="AE390" t="n">
        <x:f>IF(AND(AC390=1,OR(I390="FULL",J390="FULL")),1,0)</x:f>
        <x:v>0</x:v>
      </x:c>
      <x:c r="AF390" s="21"/>
    </x:row>
    <x:row r="391">
      <x:c r="H391" s="21"/>
      <x:c r="K391" s="21"/>
      <x:c r="L391" s="21"/>
      <x:c r="Z391" t="str">
        <x:f>IF(A391="","",IF(M391="EXCLUDED","EXCLUDED",IF(M391&lt;&gt;"VERIFIED","UNREVIEWED",IF(OR(H391="",I391="UNASSESSABLE",J391="UNASSESSABLE"),"UNSCORABLE",IF(H391&gt;=L391,IF(J391="FULL","CORRECT","PENDING"),IF(I391="FULL","CORRECT",IF(J391="FULL","LATE",IF(OR(I391="PARTIAL",J391="PARTIAL"),"PARTIAL","WRONG / MISSED"))))))))</x:f>
      </x:c>
      <x:c r="AA391" t="str">
        <x:f>IF(OR(A391="",M391&lt;&gt;"VERIFIED",H391="",K391="",J391&lt;&gt;"FULL"),"",K391-H391)</x:f>
      </x:c>
      <x:c r="AB391" t="str">
        <x:f>IF(OR(A391="",M391&lt;&gt;"VERIFIED",H391="",H391&gt;=L391,J391="FULL",J391="UNASSESSABLE"),"",L391-H391)</x:f>
      </x:c>
      <x:c r="AC391" t="n">
        <x:f>IF(AND(A391&lt;&gt;"",M391="VERIFIED",N391="YES",H391&lt;&gt;"",H391&lt;L391,I391&lt;&gt;"UNASSESSABLE",I391&lt;&gt;"UNREVIEWED",I391&lt;&gt;"NOT_DUE"),1,0)</x:f>
        <x:v>0</x:v>
      </x:c>
      <x:c r="AD391" t="n">
        <x:f>IF(AND(AC391=1,I391="FULL"),1,0)</x:f>
        <x:v>0</x:v>
      </x:c>
      <x:c r="AE391" t="n">
        <x:f>IF(AND(AC391=1,OR(I391="FULL",J391="FULL")),1,0)</x:f>
        <x:v>0</x:v>
      </x:c>
      <x:c r="AF391" s="21"/>
    </x:row>
    <x:row r="392">
      <x:c r="H392" s="21"/>
      <x:c r="K392" s="21"/>
      <x:c r="L392" s="21"/>
      <x:c r="Z392" t="str">
        <x:f>IF(A392="","",IF(M392="EXCLUDED","EXCLUDED",IF(M392&lt;&gt;"VERIFIED","UNREVIEWED",IF(OR(H392="",I392="UNASSESSABLE",J392="UNASSESSABLE"),"UNSCORABLE",IF(H392&gt;=L392,IF(J392="FULL","CORRECT","PENDING"),IF(I392="FULL","CORRECT",IF(J392="FULL","LATE",IF(OR(I392="PARTIAL",J392="PARTIAL"),"PARTIAL","WRONG / MISSED"))))))))</x:f>
      </x:c>
      <x:c r="AA392" t="str">
        <x:f>IF(OR(A392="",M392&lt;&gt;"VERIFIED",H392="",K392="",J392&lt;&gt;"FULL"),"",K392-H392)</x:f>
      </x:c>
      <x:c r="AB392" t="str">
        <x:f>IF(OR(A392="",M392&lt;&gt;"VERIFIED",H392="",H392&gt;=L392,J392="FULL",J392="UNASSESSABLE"),"",L392-H392)</x:f>
      </x:c>
      <x:c r="AC392" t="n">
        <x:f>IF(AND(A392&lt;&gt;"",M392="VERIFIED",N392="YES",H392&lt;&gt;"",H392&lt;L392,I392&lt;&gt;"UNASSESSABLE",I392&lt;&gt;"UNREVIEWED",I392&lt;&gt;"NOT_DUE"),1,0)</x:f>
        <x:v>0</x:v>
      </x:c>
      <x:c r="AD392" t="n">
        <x:f>IF(AND(AC392=1,I392="FULL"),1,0)</x:f>
        <x:v>0</x:v>
      </x:c>
      <x:c r="AE392" t="n">
        <x:f>IF(AND(AC392=1,OR(I392="FULL",J392="FULL")),1,0)</x:f>
        <x:v>0</x:v>
      </x:c>
      <x:c r="AF392" s="21"/>
    </x:row>
    <x:row r="393">
      <x:c r="H393" s="21"/>
      <x:c r="K393" s="21"/>
      <x:c r="L393" s="21"/>
      <x:c r="Z393" t="str">
        <x:f>IF(A393="","",IF(M393="EXCLUDED","EXCLUDED",IF(M393&lt;&gt;"VERIFIED","UNREVIEWED",IF(OR(H393="",I393="UNASSESSABLE",J393="UNASSESSABLE"),"UNSCORABLE",IF(H393&gt;=L393,IF(J393="FULL","CORRECT","PENDING"),IF(I393="FULL","CORRECT",IF(J393="FULL","LATE",IF(OR(I393="PARTIAL",J393="PARTIAL"),"PARTIAL","WRONG / MISSED"))))))))</x:f>
      </x:c>
      <x:c r="AA393" t="str">
        <x:f>IF(OR(A393="",M393&lt;&gt;"VERIFIED",H393="",K393="",J393&lt;&gt;"FULL"),"",K393-H393)</x:f>
      </x:c>
      <x:c r="AB393" t="str">
        <x:f>IF(OR(A393="",M393&lt;&gt;"VERIFIED",H393="",H393&gt;=L393,J393="FULL",J393="UNASSESSABLE"),"",L393-H393)</x:f>
      </x:c>
      <x:c r="AC393" t="n">
        <x:f>IF(AND(A393&lt;&gt;"",M393="VERIFIED",N393="YES",H393&lt;&gt;"",H393&lt;L393,I393&lt;&gt;"UNASSESSABLE",I393&lt;&gt;"UNREVIEWED",I393&lt;&gt;"NOT_DUE"),1,0)</x:f>
        <x:v>0</x:v>
      </x:c>
      <x:c r="AD393" t="n">
        <x:f>IF(AND(AC393=1,I393="FULL"),1,0)</x:f>
        <x:v>0</x:v>
      </x:c>
      <x:c r="AE393" t="n">
        <x:f>IF(AND(AC393=1,OR(I393="FULL",J393="FULL")),1,0)</x:f>
        <x:v>0</x:v>
      </x:c>
      <x:c r="AF393" s="21"/>
    </x:row>
    <x:row r="394">
      <x:c r="H394" s="21"/>
      <x:c r="K394" s="21"/>
      <x:c r="L394" s="21"/>
      <x:c r="Z394" t="str">
        <x:f>IF(A394="","",IF(M394="EXCLUDED","EXCLUDED",IF(M394&lt;&gt;"VERIFIED","UNREVIEWED",IF(OR(H394="",I394="UNASSESSABLE",J394="UNASSESSABLE"),"UNSCORABLE",IF(H394&gt;=L394,IF(J394="FULL","CORRECT","PENDING"),IF(I394="FULL","CORRECT",IF(J394="FULL","LATE",IF(OR(I394="PARTIAL",J394="PARTIAL"),"PARTIAL","WRONG / MISSED"))))))))</x:f>
      </x:c>
      <x:c r="AA394" t="str">
        <x:f>IF(OR(A394="",M394&lt;&gt;"VERIFIED",H394="",K394="",J394&lt;&gt;"FULL"),"",K394-H394)</x:f>
      </x:c>
      <x:c r="AB394" t="str">
        <x:f>IF(OR(A394="",M394&lt;&gt;"VERIFIED",H394="",H394&gt;=L394,J394="FULL",J394="UNASSESSABLE"),"",L394-H394)</x:f>
      </x:c>
      <x:c r="AC394" t="n">
        <x:f>IF(AND(A394&lt;&gt;"",M394="VERIFIED",N394="YES",H394&lt;&gt;"",H394&lt;L394,I394&lt;&gt;"UNASSESSABLE",I394&lt;&gt;"UNREVIEWED",I394&lt;&gt;"NOT_DUE"),1,0)</x:f>
        <x:v>0</x:v>
      </x:c>
      <x:c r="AD394" t="n">
        <x:f>IF(AND(AC394=1,I394="FULL"),1,0)</x:f>
        <x:v>0</x:v>
      </x:c>
      <x:c r="AE394" t="n">
        <x:f>IF(AND(AC394=1,OR(I394="FULL",J394="FULL")),1,0)</x:f>
        <x:v>0</x:v>
      </x:c>
      <x:c r="AF394" s="21"/>
    </x:row>
    <x:row r="395">
      <x:c r="H395" s="21"/>
      <x:c r="K395" s="21"/>
      <x:c r="L395" s="21"/>
      <x:c r="Z395" t="str">
        <x:f>IF(A395="","",IF(M395="EXCLUDED","EXCLUDED",IF(M395&lt;&gt;"VERIFIED","UNREVIEWED",IF(OR(H395="",I395="UNASSESSABLE",J395="UNASSESSABLE"),"UNSCORABLE",IF(H395&gt;=L395,IF(J395="FULL","CORRECT","PENDING"),IF(I395="FULL","CORRECT",IF(J395="FULL","LATE",IF(OR(I395="PARTIAL",J395="PARTIAL"),"PARTIAL","WRONG / MISSED"))))))))</x:f>
      </x:c>
      <x:c r="AA395" t="str">
        <x:f>IF(OR(A395="",M395&lt;&gt;"VERIFIED",H395="",K395="",J395&lt;&gt;"FULL"),"",K395-H395)</x:f>
      </x:c>
      <x:c r="AB395" t="str">
        <x:f>IF(OR(A395="",M395&lt;&gt;"VERIFIED",H395="",H395&gt;=L395,J395="FULL",J395="UNASSESSABLE"),"",L395-H395)</x:f>
      </x:c>
      <x:c r="AC395" t="n">
        <x:f>IF(AND(A395&lt;&gt;"",M395="VERIFIED",N395="YES",H395&lt;&gt;"",H395&lt;L395,I395&lt;&gt;"UNASSESSABLE",I395&lt;&gt;"UNREVIEWED",I395&lt;&gt;"NOT_DUE"),1,0)</x:f>
        <x:v>0</x:v>
      </x:c>
      <x:c r="AD395" t="n">
        <x:f>IF(AND(AC395=1,I395="FULL"),1,0)</x:f>
        <x:v>0</x:v>
      </x:c>
      <x:c r="AE395" t="n">
        <x:f>IF(AND(AC395=1,OR(I395="FULL",J395="FULL")),1,0)</x:f>
        <x:v>0</x:v>
      </x:c>
      <x:c r="AF395" s="21"/>
    </x:row>
    <x:row r="396">
      <x:c r="H396" s="21"/>
      <x:c r="K396" s="21"/>
      <x:c r="L396" s="21"/>
      <x:c r="Z396" t="str">
        <x:f>IF(A396="","",IF(M396="EXCLUDED","EXCLUDED",IF(M396&lt;&gt;"VERIFIED","UNREVIEWED",IF(OR(H396="",I396="UNASSESSABLE",J396="UNASSESSABLE"),"UNSCORABLE",IF(H396&gt;=L396,IF(J396="FULL","CORRECT","PENDING"),IF(I396="FULL","CORRECT",IF(J396="FULL","LATE",IF(OR(I396="PARTIAL",J396="PARTIAL"),"PARTIAL","WRONG / MISSED"))))))))</x:f>
      </x:c>
      <x:c r="AA396" t="str">
        <x:f>IF(OR(A396="",M396&lt;&gt;"VERIFIED",H396="",K396="",J396&lt;&gt;"FULL"),"",K396-H396)</x:f>
      </x:c>
      <x:c r="AB396" t="str">
        <x:f>IF(OR(A396="",M396&lt;&gt;"VERIFIED",H396="",H396&gt;=L396,J396="FULL",J396="UNASSESSABLE"),"",L396-H396)</x:f>
      </x:c>
      <x:c r="AC396" t="n">
        <x:f>IF(AND(A396&lt;&gt;"",M396="VERIFIED",N396="YES",H396&lt;&gt;"",H396&lt;L396,I396&lt;&gt;"UNASSESSABLE",I396&lt;&gt;"UNREVIEWED",I396&lt;&gt;"NOT_DUE"),1,0)</x:f>
        <x:v>0</x:v>
      </x:c>
      <x:c r="AD396" t="n">
        <x:f>IF(AND(AC396=1,I396="FULL"),1,0)</x:f>
        <x:v>0</x:v>
      </x:c>
      <x:c r="AE396" t="n">
        <x:f>IF(AND(AC396=1,OR(I396="FULL",J396="FULL")),1,0)</x:f>
        <x:v>0</x:v>
      </x:c>
      <x:c r="AF396" s="21"/>
    </x:row>
    <x:row r="397">
      <x:c r="H397" s="21"/>
      <x:c r="K397" s="21"/>
      <x:c r="L397" s="21"/>
      <x:c r="Z397" t="str">
        <x:f>IF(A397="","",IF(M397="EXCLUDED","EXCLUDED",IF(M397&lt;&gt;"VERIFIED","UNREVIEWED",IF(OR(H397="",I397="UNASSESSABLE",J397="UNASSESSABLE"),"UNSCORABLE",IF(H397&gt;=L397,IF(J397="FULL","CORRECT","PENDING"),IF(I397="FULL","CORRECT",IF(J397="FULL","LATE",IF(OR(I397="PARTIAL",J397="PARTIAL"),"PARTIAL","WRONG / MISSED"))))))))</x:f>
      </x:c>
      <x:c r="AA397" t="str">
        <x:f>IF(OR(A397="",M397&lt;&gt;"VERIFIED",H397="",K397="",J397&lt;&gt;"FULL"),"",K397-H397)</x:f>
      </x:c>
      <x:c r="AB397" t="str">
        <x:f>IF(OR(A397="",M397&lt;&gt;"VERIFIED",H397="",H397&gt;=L397,J397="FULL",J397="UNASSESSABLE"),"",L397-H397)</x:f>
      </x:c>
      <x:c r="AC397" t="n">
        <x:f>IF(AND(A397&lt;&gt;"",M397="VERIFIED",N397="YES",H397&lt;&gt;"",H397&lt;L397,I397&lt;&gt;"UNASSESSABLE",I397&lt;&gt;"UNREVIEWED",I397&lt;&gt;"NOT_DUE"),1,0)</x:f>
        <x:v>0</x:v>
      </x:c>
      <x:c r="AD397" t="n">
        <x:f>IF(AND(AC397=1,I397="FULL"),1,0)</x:f>
        <x:v>0</x:v>
      </x:c>
      <x:c r="AE397" t="n">
        <x:f>IF(AND(AC397=1,OR(I397="FULL",J397="FULL")),1,0)</x:f>
        <x:v>0</x:v>
      </x:c>
      <x:c r="AF397" s="21"/>
    </x:row>
    <x:row r="398">
      <x:c r="H398" s="21"/>
      <x:c r="K398" s="21"/>
      <x:c r="L398" s="21"/>
      <x:c r="Z398" t="str">
        <x:f>IF(A398="","",IF(M398="EXCLUDED","EXCLUDED",IF(M398&lt;&gt;"VERIFIED","UNREVIEWED",IF(OR(H398="",I398="UNASSESSABLE",J398="UNASSESSABLE"),"UNSCORABLE",IF(H398&gt;=L398,IF(J398="FULL","CORRECT","PENDING"),IF(I398="FULL","CORRECT",IF(J398="FULL","LATE",IF(OR(I398="PARTIAL",J398="PARTIAL"),"PARTIAL","WRONG / MISSED"))))))))</x:f>
      </x:c>
      <x:c r="AA398" t="str">
        <x:f>IF(OR(A398="",M398&lt;&gt;"VERIFIED",H398="",K398="",J398&lt;&gt;"FULL"),"",K398-H398)</x:f>
      </x:c>
      <x:c r="AB398" t="str">
        <x:f>IF(OR(A398="",M398&lt;&gt;"VERIFIED",H398="",H398&gt;=L398,J398="FULL",J398="UNASSESSABLE"),"",L398-H398)</x:f>
      </x:c>
      <x:c r="AC398" t="n">
        <x:f>IF(AND(A398&lt;&gt;"",M398="VERIFIED",N398="YES",H398&lt;&gt;"",H398&lt;L398,I398&lt;&gt;"UNASSESSABLE",I398&lt;&gt;"UNREVIEWED",I398&lt;&gt;"NOT_DUE"),1,0)</x:f>
        <x:v>0</x:v>
      </x:c>
      <x:c r="AD398" t="n">
        <x:f>IF(AND(AC398=1,I398="FULL"),1,0)</x:f>
        <x:v>0</x:v>
      </x:c>
      <x:c r="AE398" t="n">
        <x:f>IF(AND(AC398=1,OR(I398="FULL",J398="FULL")),1,0)</x:f>
        <x:v>0</x:v>
      </x:c>
      <x:c r="AF398" s="21"/>
    </x:row>
    <x:row r="399">
      <x:c r="H399" s="21"/>
      <x:c r="K399" s="21"/>
      <x:c r="L399" s="21"/>
      <x:c r="Z399" t="str">
        <x:f>IF(A399="","",IF(M399="EXCLUDED","EXCLUDED",IF(M399&lt;&gt;"VERIFIED","UNREVIEWED",IF(OR(H399="",I399="UNASSESSABLE",J399="UNASSESSABLE"),"UNSCORABLE",IF(H399&gt;=L399,IF(J399="FULL","CORRECT","PENDING"),IF(I399="FULL","CORRECT",IF(J399="FULL","LATE",IF(OR(I399="PARTIAL",J399="PARTIAL"),"PARTIAL","WRONG / MISSED"))))))))</x:f>
      </x:c>
      <x:c r="AA399" t="str">
        <x:f>IF(OR(A399="",M399&lt;&gt;"VERIFIED",H399="",K399="",J399&lt;&gt;"FULL"),"",K399-H399)</x:f>
      </x:c>
      <x:c r="AB399" t="str">
        <x:f>IF(OR(A399="",M399&lt;&gt;"VERIFIED",H399="",H399&gt;=L399,J399="FULL",J399="UNASSESSABLE"),"",L399-H399)</x:f>
      </x:c>
      <x:c r="AC399" t="n">
        <x:f>IF(AND(A399&lt;&gt;"",M399="VERIFIED",N399="YES",H399&lt;&gt;"",H399&lt;L399,I399&lt;&gt;"UNASSESSABLE",I399&lt;&gt;"UNREVIEWED",I399&lt;&gt;"NOT_DUE"),1,0)</x:f>
        <x:v>0</x:v>
      </x:c>
      <x:c r="AD399" t="n">
        <x:f>IF(AND(AC399=1,I399="FULL"),1,0)</x:f>
        <x:v>0</x:v>
      </x:c>
      <x:c r="AE399" t="n">
        <x:f>IF(AND(AC399=1,OR(I399="FULL",J399="FULL")),1,0)</x:f>
        <x:v>0</x:v>
      </x:c>
      <x:c r="AF399" s="21"/>
    </x:row>
    <x:row r="400">
      <x:c r="H400" s="21"/>
      <x:c r="K400" s="21"/>
      <x:c r="L400" s="21"/>
      <x:c r="Z400" t="str">
        <x:f>IF(A400="","",IF(M400="EXCLUDED","EXCLUDED",IF(M400&lt;&gt;"VERIFIED","UNREVIEWED",IF(OR(H400="",I400="UNASSESSABLE",J400="UNASSESSABLE"),"UNSCORABLE",IF(H400&gt;=L400,IF(J400="FULL","CORRECT","PENDING"),IF(I400="FULL","CORRECT",IF(J400="FULL","LATE",IF(OR(I400="PARTIAL",J400="PARTIAL"),"PARTIAL","WRONG / MISSED"))))))))</x:f>
      </x:c>
      <x:c r="AA400" t="str">
        <x:f>IF(OR(A400="",M400&lt;&gt;"VERIFIED",H400="",K400="",J400&lt;&gt;"FULL"),"",K400-H400)</x:f>
      </x:c>
      <x:c r="AB400" t="str">
        <x:f>IF(OR(A400="",M400&lt;&gt;"VERIFIED",H400="",H400&gt;=L400,J400="FULL",J400="UNASSESSABLE"),"",L400-H400)</x:f>
      </x:c>
      <x:c r="AC400" t="n">
        <x:f>IF(AND(A400&lt;&gt;"",M400="VERIFIED",N400="YES",H400&lt;&gt;"",H400&lt;L400,I400&lt;&gt;"UNASSESSABLE",I400&lt;&gt;"UNREVIEWED",I400&lt;&gt;"NOT_DUE"),1,0)</x:f>
        <x:v>0</x:v>
      </x:c>
      <x:c r="AD400" t="n">
        <x:f>IF(AND(AC400=1,I400="FULL"),1,0)</x:f>
        <x:v>0</x:v>
      </x:c>
      <x:c r="AE400" t="n">
        <x:f>IF(AND(AC400=1,OR(I400="FULL",J400="FULL")),1,0)</x:f>
        <x:v>0</x:v>
      </x:c>
      <x:c r="AF400" s="21"/>
    </x:row>
    <x:row r="401">
      <x:c r="H401" s="21"/>
      <x:c r="K401" s="21"/>
      <x:c r="L401" s="21"/>
      <x:c r="Z401" t="str">
        <x:f>IF(A401="","",IF(M401="EXCLUDED","EXCLUDED",IF(M401&lt;&gt;"VERIFIED","UNREVIEWED",IF(OR(H401="",I401="UNASSESSABLE",J401="UNASSESSABLE"),"UNSCORABLE",IF(H401&gt;=L401,IF(J401="FULL","CORRECT","PENDING"),IF(I401="FULL","CORRECT",IF(J401="FULL","LATE",IF(OR(I401="PARTIAL",J401="PARTIAL"),"PARTIAL","WRONG / MISSED"))))))))</x:f>
      </x:c>
      <x:c r="AA401" t="str">
        <x:f>IF(OR(A401="",M401&lt;&gt;"VERIFIED",H401="",K401="",J401&lt;&gt;"FULL"),"",K401-H401)</x:f>
      </x:c>
      <x:c r="AB401" t="str">
        <x:f>IF(OR(A401="",M401&lt;&gt;"VERIFIED",H401="",H401&gt;=L401,J401="FULL",J401="UNASSESSABLE"),"",L401-H401)</x:f>
      </x:c>
      <x:c r="AC401" t="n">
        <x:f>IF(AND(A401&lt;&gt;"",M401="VERIFIED",N401="YES",H401&lt;&gt;"",H401&lt;L401,I401&lt;&gt;"UNASSESSABLE",I401&lt;&gt;"UNREVIEWED",I401&lt;&gt;"NOT_DUE"),1,0)</x:f>
        <x:v>0</x:v>
      </x:c>
      <x:c r="AD401" t="n">
        <x:f>IF(AND(AC401=1,I401="FULL"),1,0)</x:f>
        <x:v>0</x:v>
      </x:c>
      <x:c r="AE401" t="n">
        <x:f>IF(AND(AC401=1,OR(I401="FULL",J401="FULL")),1,0)</x:f>
        <x:v>0</x:v>
      </x:c>
      <x:c r="AF401" s="21"/>
    </x:row>
    <x:row r="402">
      <x:c r="H402" s="21"/>
      <x:c r="K402" s="21"/>
      <x:c r="L402" s="21"/>
      <x:c r="Z402" t="str">
        <x:f>IF(A402="","",IF(M402="EXCLUDED","EXCLUDED",IF(M402&lt;&gt;"VERIFIED","UNREVIEWED",IF(OR(H402="",I402="UNASSESSABLE",J402="UNASSESSABLE"),"UNSCORABLE",IF(H402&gt;=L402,IF(J402="FULL","CORRECT","PENDING"),IF(I402="FULL","CORRECT",IF(J402="FULL","LATE",IF(OR(I402="PARTIAL",J402="PARTIAL"),"PARTIAL","WRONG / MISSED"))))))))</x:f>
      </x:c>
      <x:c r="AA402" t="str">
        <x:f>IF(OR(A402="",M402&lt;&gt;"VERIFIED",H402="",K402="",J402&lt;&gt;"FULL"),"",K402-H402)</x:f>
      </x:c>
      <x:c r="AB402" t="str">
        <x:f>IF(OR(A402="",M402&lt;&gt;"VERIFIED",H402="",H402&gt;=L402,J402="FULL",J402="UNASSESSABLE"),"",L402-H402)</x:f>
      </x:c>
      <x:c r="AC402" t="n">
        <x:f>IF(AND(A402&lt;&gt;"",M402="VERIFIED",N402="YES",H402&lt;&gt;"",H402&lt;L402,I402&lt;&gt;"UNASSESSABLE",I402&lt;&gt;"UNREVIEWED",I402&lt;&gt;"NOT_DUE"),1,0)</x:f>
        <x:v>0</x:v>
      </x:c>
      <x:c r="AD402" t="n">
        <x:f>IF(AND(AC402=1,I402="FULL"),1,0)</x:f>
        <x:v>0</x:v>
      </x:c>
      <x:c r="AE402" t="n">
        <x:f>IF(AND(AC402=1,OR(I402="FULL",J402="FULL")),1,0)</x:f>
        <x:v>0</x:v>
      </x:c>
      <x:c r="AF402" s="21"/>
    </x:row>
    <x:row r="403">
      <x:c r="H403" s="21"/>
      <x:c r="K403" s="21"/>
      <x:c r="L403" s="21"/>
      <x:c r="Z403" t="str">
        <x:f>IF(A403="","",IF(M403="EXCLUDED","EXCLUDED",IF(M403&lt;&gt;"VERIFIED","UNREVIEWED",IF(OR(H403="",I403="UNASSESSABLE",J403="UNASSESSABLE"),"UNSCORABLE",IF(H403&gt;=L403,IF(J403="FULL","CORRECT","PENDING"),IF(I403="FULL","CORRECT",IF(J403="FULL","LATE",IF(OR(I403="PARTIAL",J403="PARTIAL"),"PARTIAL","WRONG / MISSED"))))))))</x:f>
      </x:c>
      <x:c r="AA403" t="str">
        <x:f>IF(OR(A403="",M403&lt;&gt;"VERIFIED",H403="",K403="",J403&lt;&gt;"FULL"),"",K403-H403)</x:f>
      </x:c>
      <x:c r="AB403" t="str">
        <x:f>IF(OR(A403="",M403&lt;&gt;"VERIFIED",H403="",H403&gt;=L403,J403="FULL",J403="UNASSESSABLE"),"",L403-H403)</x:f>
      </x:c>
      <x:c r="AC403" t="n">
        <x:f>IF(AND(A403&lt;&gt;"",M403="VERIFIED",N403="YES",H403&lt;&gt;"",H403&lt;L403,I403&lt;&gt;"UNASSESSABLE",I403&lt;&gt;"UNREVIEWED",I403&lt;&gt;"NOT_DUE"),1,0)</x:f>
        <x:v>0</x:v>
      </x:c>
      <x:c r="AD403" t="n">
        <x:f>IF(AND(AC403=1,I403="FULL"),1,0)</x:f>
        <x:v>0</x:v>
      </x:c>
      <x:c r="AE403" t="n">
        <x:f>IF(AND(AC403=1,OR(I403="FULL",J403="FULL")),1,0)</x:f>
        <x:v>0</x:v>
      </x:c>
      <x:c r="AF403" s="21"/>
    </x:row>
    <x:row r="404">
      <x:c r="H404" s="21"/>
      <x:c r="K404" s="21"/>
      <x:c r="L404" s="21"/>
      <x:c r="Z404" t="str">
        <x:f>IF(A404="","",IF(M404="EXCLUDED","EXCLUDED",IF(M404&lt;&gt;"VERIFIED","UNREVIEWED",IF(OR(H404="",I404="UNASSESSABLE",J404="UNASSESSABLE"),"UNSCORABLE",IF(H404&gt;=L404,IF(J404="FULL","CORRECT","PENDING"),IF(I404="FULL","CORRECT",IF(J404="FULL","LATE",IF(OR(I404="PARTIAL",J404="PARTIAL"),"PARTIAL","WRONG / MISSED"))))))))</x:f>
      </x:c>
      <x:c r="AA404" t="str">
        <x:f>IF(OR(A404="",M404&lt;&gt;"VERIFIED",H404="",K404="",J404&lt;&gt;"FULL"),"",K404-H404)</x:f>
      </x:c>
      <x:c r="AB404" t="str">
        <x:f>IF(OR(A404="",M404&lt;&gt;"VERIFIED",H404="",H404&gt;=L404,J404="FULL",J404="UNASSESSABLE"),"",L404-H404)</x:f>
      </x:c>
      <x:c r="AC404" t="n">
        <x:f>IF(AND(A404&lt;&gt;"",M404="VERIFIED",N404="YES",H404&lt;&gt;"",H404&lt;L404,I404&lt;&gt;"UNASSESSABLE",I404&lt;&gt;"UNREVIEWED",I404&lt;&gt;"NOT_DUE"),1,0)</x:f>
        <x:v>0</x:v>
      </x:c>
      <x:c r="AD404" t="n">
        <x:f>IF(AND(AC404=1,I404="FULL"),1,0)</x:f>
        <x:v>0</x:v>
      </x:c>
      <x:c r="AE404" t="n">
        <x:f>IF(AND(AC404=1,OR(I404="FULL",J404="FULL")),1,0)</x:f>
        <x:v>0</x:v>
      </x:c>
      <x:c r="AF404" s="21"/>
    </x:row>
    <x:row r="405">
      <x:c r="H405" s="21"/>
      <x:c r="K405" s="21"/>
      <x:c r="L405" s="21"/>
      <x:c r="Z405" t="str">
        <x:f>IF(A405="","",IF(M405="EXCLUDED","EXCLUDED",IF(M405&lt;&gt;"VERIFIED","UNREVIEWED",IF(OR(H405="",I405="UNASSESSABLE",J405="UNASSESSABLE"),"UNSCORABLE",IF(H405&gt;=L405,IF(J405="FULL","CORRECT","PENDING"),IF(I405="FULL","CORRECT",IF(J405="FULL","LATE",IF(OR(I405="PARTIAL",J405="PARTIAL"),"PARTIAL","WRONG / MISSED"))))))))</x:f>
      </x:c>
      <x:c r="AA405" t="str">
        <x:f>IF(OR(A405="",M405&lt;&gt;"VERIFIED",H405="",K405="",J405&lt;&gt;"FULL"),"",K405-H405)</x:f>
      </x:c>
      <x:c r="AB405" t="str">
        <x:f>IF(OR(A405="",M405&lt;&gt;"VERIFIED",H405="",H405&gt;=L405,J405="FULL",J405="UNASSESSABLE"),"",L405-H405)</x:f>
      </x:c>
      <x:c r="AC405" t="n">
        <x:f>IF(AND(A405&lt;&gt;"",M405="VERIFIED",N405="YES",H405&lt;&gt;"",H405&lt;L405,I405&lt;&gt;"UNASSESSABLE",I405&lt;&gt;"UNREVIEWED",I405&lt;&gt;"NOT_DUE"),1,0)</x:f>
        <x:v>0</x:v>
      </x:c>
      <x:c r="AD405" t="n">
        <x:f>IF(AND(AC405=1,I405="FULL"),1,0)</x:f>
        <x:v>0</x:v>
      </x:c>
      <x:c r="AE405" t="n">
        <x:f>IF(AND(AC405=1,OR(I405="FULL",J405="FULL")),1,0)</x:f>
        <x:v>0</x:v>
      </x:c>
      <x:c r="AF405" s="21"/>
    </x:row>
    <x:row r="406">
      <x:c r="H406" s="21"/>
      <x:c r="K406" s="21"/>
      <x:c r="L406" s="21"/>
      <x:c r="Z406" t="str">
        <x:f>IF(A406="","",IF(M406="EXCLUDED","EXCLUDED",IF(M406&lt;&gt;"VERIFIED","UNREVIEWED",IF(OR(H406="",I406="UNASSESSABLE",J406="UNASSESSABLE"),"UNSCORABLE",IF(H406&gt;=L406,IF(J406="FULL","CORRECT","PENDING"),IF(I406="FULL","CORRECT",IF(J406="FULL","LATE",IF(OR(I406="PARTIAL",J406="PARTIAL"),"PARTIAL","WRONG / MISSED"))))))))</x:f>
      </x:c>
      <x:c r="AA406" t="str">
        <x:f>IF(OR(A406="",M406&lt;&gt;"VERIFIED",H406="",K406="",J406&lt;&gt;"FULL"),"",K406-H406)</x:f>
      </x:c>
      <x:c r="AB406" t="str">
        <x:f>IF(OR(A406="",M406&lt;&gt;"VERIFIED",H406="",H406&gt;=L406,J406="FULL",J406="UNASSESSABLE"),"",L406-H406)</x:f>
      </x:c>
      <x:c r="AC406" t="n">
        <x:f>IF(AND(A406&lt;&gt;"",M406="VERIFIED",N406="YES",H406&lt;&gt;"",H406&lt;L406,I406&lt;&gt;"UNASSESSABLE",I406&lt;&gt;"UNREVIEWED",I406&lt;&gt;"NOT_DUE"),1,0)</x:f>
        <x:v>0</x:v>
      </x:c>
      <x:c r="AD406" t="n">
        <x:f>IF(AND(AC406=1,I406="FULL"),1,0)</x:f>
        <x:v>0</x:v>
      </x:c>
      <x:c r="AE406" t="n">
        <x:f>IF(AND(AC406=1,OR(I406="FULL",J406="FULL")),1,0)</x:f>
        <x:v>0</x:v>
      </x:c>
      <x:c r="AF406" s="21"/>
    </x:row>
    <x:row r="407">
      <x:c r="H407" s="21"/>
      <x:c r="K407" s="21"/>
      <x:c r="L407" s="21"/>
      <x:c r="Z407" t="str">
        <x:f>IF(A407="","",IF(M407="EXCLUDED","EXCLUDED",IF(M407&lt;&gt;"VERIFIED","UNREVIEWED",IF(OR(H407="",I407="UNASSESSABLE",J407="UNASSESSABLE"),"UNSCORABLE",IF(H407&gt;=L407,IF(J407="FULL","CORRECT","PENDING"),IF(I407="FULL","CORRECT",IF(J407="FULL","LATE",IF(OR(I407="PARTIAL",J407="PARTIAL"),"PARTIAL","WRONG / MISSED"))))))))</x:f>
      </x:c>
      <x:c r="AA407" t="str">
        <x:f>IF(OR(A407="",M407&lt;&gt;"VERIFIED",H407="",K407="",J407&lt;&gt;"FULL"),"",K407-H407)</x:f>
      </x:c>
      <x:c r="AB407" t="str">
        <x:f>IF(OR(A407="",M407&lt;&gt;"VERIFIED",H407="",H407&gt;=L407,J407="FULL",J407="UNASSESSABLE"),"",L407-H407)</x:f>
      </x:c>
      <x:c r="AC407" t="n">
        <x:f>IF(AND(A407&lt;&gt;"",M407="VERIFIED",N407="YES",H407&lt;&gt;"",H407&lt;L407,I407&lt;&gt;"UNASSESSABLE",I407&lt;&gt;"UNREVIEWED",I407&lt;&gt;"NOT_DUE"),1,0)</x:f>
        <x:v>0</x:v>
      </x:c>
      <x:c r="AD407" t="n">
        <x:f>IF(AND(AC407=1,I407="FULL"),1,0)</x:f>
        <x:v>0</x:v>
      </x:c>
      <x:c r="AE407" t="n">
        <x:f>IF(AND(AC407=1,OR(I407="FULL",J407="FULL")),1,0)</x:f>
        <x:v>0</x:v>
      </x:c>
      <x:c r="AF407" s="21"/>
    </x:row>
    <x:row r="408">
      <x:c r="H408" s="21"/>
      <x:c r="K408" s="21"/>
      <x:c r="L408" s="21"/>
      <x:c r="Z408" t="str">
        <x:f>IF(A408="","",IF(M408="EXCLUDED","EXCLUDED",IF(M408&lt;&gt;"VERIFIED","UNREVIEWED",IF(OR(H408="",I408="UNASSESSABLE",J408="UNASSESSABLE"),"UNSCORABLE",IF(H408&gt;=L408,IF(J408="FULL","CORRECT","PENDING"),IF(I408="FULL","CORRECT",IF(J408="FULL","LATE",IF(OR(I408="PARTIAL",J408="PARTIAL"),"PARTIAL","WRONG / MISSED"))))))))</x:f>
      </x:c>
      <x:c r="AA408" t="str">
        <x:f>IF(OR(A408="",M408&lt;&gt;"VERIFIED",H408="",K408="",J408&lt;&gt;"FULL"),"",K408-H408)</x:f>
      </x:c>
      <x:c r="AB408" t="str">
        <x:f>IF(OR(A408="",M408&lt;&gt;"VERIFIED",H408="",H408&gt;=L408,J408="FULL",J408="UNASSESSABLE"),"",L408-H408)</x:f>
      </x:c>
      <x:c r="AC408" t="n">
        <x:f>IF(AND(A408&lt;&gt;"",M408="VERIFIED",N408="YES",H408&lt;&gt;"",H408&lt;L408,I408&lt;&gt;"UNASSESSABLE",I408&lt;&gt;"UNREVIEWED",I408&lt;&gt;"NOT_DUE"),1,0)</x:f>
        <x:v>0</x:v>
      </x:c>
      <x:c r="AD408" t="n">
        <x:f>IF(AND(AC408=1,I408="FULL"),1,0)</x:f>
        <x:v>0</x:v>
      </x:c>
      <x:c r="AE408" t="n">
        <x:f>IF(AND(AC408=1,OR(I408="FULL",J408="FULL")),1,0)</x:f>
        <x:v>0</x:v>
      </x:c>
      <x:c r="AF408" s="21"/>
    </x:row>
    <x:row r="409">
      <x:c r="H409" s="21"/>
      <x:c r="K409" s="21"/>
      <x:c r="L409" s="21"/>
      <x:c r="Z409" t="str">
        <x:f>IF(A409="","",IF(M409="EXCLUDED","EXCLUDED",IF(M409&lt;&gt;"VERIFIED","UNREVIEWED",IF(OR(H409="",I409="UNASSESSABLE",J409="UNASSESSABLE"),"UNSCORABLE",IF(H409&gt;=L409,IF(J409="FULL","CORRECT","PENDING"),IF(I409="FULL","CORRECT",IF(J409="FULL","LATE",IF(OR(I409="PARTIAL",J409="PARTIAL"),"PARTIAL","WRONG / MISSED"))))))))</x:f>
      </x:c>
      <x:c r="AA409" t="str">
        <x:f>IF(OR(A409="",M409&lt;&gt;"VERIFIED",H409="",K409="",J409&lt;&gt;"FULL"),"",K409-H409)</x:f>
      </x:c>
      <x:c r="AB409" t="str">
        <x:f>IF(OR(A409="",M409&lt;&gt;"VERIFIED",H409="",H409&gt;=L409,J409="FULL",J409="UNASSESSABLE"),"",L409-H409)</x:f>
      </x:c>
      <x:c r="AC409" t="n">
        <x:f>IF(AND(A409&lt;&gt;"",M409="VERIFIED",N409="YES",H409&lt;&gt;"",H409&lt;L409,I409&lt;&gt;"UNASSESSABLE",I409&lt;&gt;"UNREVIEWED",I409&lt;&gt;"NOT_DUE"),1,0)</x:f>
        <x:v>0</x:v>
      </x:c>
      <x:c r="AD409" t="n">
        <x:f>IF(AND(AC409=1,I409="FULL"),1,0)</x:f>
        <x:v>0</x:v>
      </x:c>
      <x:c r="AE409" t="n">
        <x:f>IF(AND(AC409=1,OR(I409="FULL",J409="FULL")),1,0)</x:f>
        <x:v>0</x:v>
      </x:c>
      <x:c r="AF409" s="21"/>
    </x:row>
    <x:row r="410">
      <x:c r="H410" s="21"/>
      <x:c r="K410" s="21"/>
      <x:c r="L410" s="21"/>
      <x:c r="Z410" t="str">
        <x:f>IF(A410="","",IF(M410="EXCLUDED","EXCLUDED",IF(M410&lt;&gt;"VERIFIED","UNREVIEWED",IF(OR(H410="",I410="UNASSESSABLE",J410="UNASSESSABLE"),"UNSCORABLE",IF(H410&gt;=L410,IF(J410="FULL","CORRECT","PENDING"),IF(I410="FULL","CORRECT",IF(J410="FULL","LATE",IF(OR(I410="PARTIAL",J410="PARTIAL"),"PARTIAL","WRONG / MISSED"))))))))</x:f>
      </x:c>
      <x:c r="AA410" t="str">
        <x:f>IF(OR(A410="",M410&lt;&gt;"VERIFIED",H410="",K410="",J410&lt;&gt;"FULL"),"",K410-H410)</x:f>
      </x:c>
      <x:c r="AB410" t="str">
        <x:f>IF(OR(A410="",M410&lt;&gt;"VERIFIED",H410="",H410&gt;=L410,J410="FULL",J410="UNASSESSABLE"),"",L410-H410)</x:f>
      </x:c>
      <x:c r="AC410" t="n">
        <x:f>IF(AND(A410&lt;&gt;"",M410="VERIFIED",N410="YES",H410&lt;&gt;"",H410&lt;L410,I410&lt;&gt;"UNASSESSABLE",I410&lt;&gt;"UNREVIEWED",I410&lt;&gt;"NOT_DUE"),1,0)</x:f>
        <x:v>0</x:v>
      </x:c>
      <x:c r="AD410" t="n">
        <x:f>IF(AND(AC410=1,I410="FULL"),1,0)</x:f>
        <x:v>0</x:v>
      </x:c>
      <x:c r="AE410" t="n">
        <x:f>IF(AND(AC410=1,OR(I410="FULL",J410="FULL")),1,0)</x:f>
        <x:v>0</x:v>
      </x:c>
      <x:c r="AF410" s="21"/>
    </x:row>
    <x:row r="411">
      <x:c r="H411" s="21"/>
      <x:c r="K411" s="21"/>
      <x:c r="L411" s="21"/>
      <x:c r="Z411" t="str">
        <x:f>IF(A411="","",IF(M411="EXCLUDED","EXCLUDED",IF(M411&lt;&gt;"VERIFIED","UNREVIEWED",IF(OR(H411="",I411="UNASSESSABLE",J411="UNASSESSABLE"),"UNSCORABLE",IF(H411&gt;=L411,IF(J411="FULL","CORRECT","PENDING"),IF(I411="FULL","CORRECT",IF(J411="FULL","LATE",IF(OR(I411="PARTIAL",J411="PARTIAL"),"PARTIAL","WRONG / MISSED"))))))))</x:f>
      </x:c>
      <x:c r="AA411" t="str">
        <x:f>IF(OR(A411="",M411&lt;&gt;"VERIFIED",H411="",K411="",J411&lt;&gt;"FULL"),"",K411-H411)</x:f>
      </x:c>
      <x:c r="AB411" t="str">
        <x:f>IF(OR(A411="",M411&lt;&gt;"VERIFIED",H411="",H411&gt;=L411,J411="FULL",J411="UNASSESSABLE"),"",L411-H411)</x:f>
      </x:c>
      <x:c r="AC411" t="n">
        <x:f>IF(AND(A411&lt;&gt;"",M411="VERIFIED",N411="YES",H411&lt;&gt;"",H411&lt;L411,I411&lt;&gt;"UNASSESSABLE",I411&lt;&gt;"UNREVIEWED",I411&lt;&gt;"NOT_DUE"),1,0)</x:f>
        <x:v>0</x:v>
      </x:c>
      <x:c r="AD411" t="n">
        <x:f>IF(AND(AC411=1,I411="FULL"),1,0)</x:f>
        <x:v>0</x:v>
      </x:c>
      <x:c r="AE411" t="n">
        <x:f>IF(AND(AC411=1,OR(I411="FULL",J411="FULL")),1,0)</x:f>
        <x:v>0</x:v>
      </x:c>
      <x:c r="AF411" s="21"/>
    </x:row>
    <x:row r="412">
      <x:c r="H412" s="21"/>
      <x:c r="K412" s="21"/>
      <x:c r="L412" s="21"/>
      <x:c r="Z412" t="str">
        <x:f>IF(A412="","",IF(M412="EXCLUDED","EXCLUDED",IF(M412&lt;&gt;"VERIFIED","UNREVIEWED",IF(OR(H412="",I412="UNASSESSABLE",J412="UNASSESSABLE"),"UNSCORABLE",IF(H412&gt;=L412,IF(J412="FULL","CORRECT","PENDING"),IF(I412="FULL","CORRECT",IF(J412="FULL","LATE",IF(OR(I412="PARTIAL",J412="PARTIAL"),"PARTIAL","WRONG / MISSED"))))))))</x:f>
      </x:c>
      <x:c r="AA412" t="str">
        <x:f>IF(OR(A412="",M412&lt;&gt;"VERIFIED",H412="",K412="",J412&lt;&gt;"FULL"),"",K412-H412)</x:f>
      </x:c>
      <x:c r="AB412" t="str">
        <x:f>IF(OR(A412="",M412&lt;&gt;"VERIFIED",H412="",H412&gt;=L412,J412="FULL",J412="UNASSESSABLE"),"",L412-H412)</x:f>
      </x:c>
      <x:c r="AC412" t="n">
        <x:f>IF(AND(A412&lt;&gt;"",M412="VERIFIED",N412="YES",H412&lt;&gt;"",H412&lt;L412,I412&lt;&gt;"UNASSESSABLE",I412&lt;&gt;"UNREVIEWED",I412&lt;&gt;"NOT_DUE"),1,0)</x:f>
        <x:v>0</x:v>
      </x:c>
      <x:c r="AD412" t="n">
        <x:f>IF(AND(AC412=1,I412="FULL"),1,0)</x:f>
        <x:v>0</x:v>
      </x:c>
      <x:c r="AE412" t="n">
        <x:f>IF(AND(AC412=1,OR(I412="FULL",J412="FULL")),1,0)</x:f>
        <x:v>0</x:v>
      </x:c>
      <x:c r="AF412" s="21"/>
    </x:row>
    <x:row r="413">
      <x:c r="H413" s="21"/>
      <x:c r="K413" s="21"/>
      <x:c r="L413" s="21"/>
      <x:c r="Z413" t="str">
        <x:f>IF(A413="","",IF(M413="EXCLUDED","EXCLUDED",IF(M413&lt;&gt;"VERIFIED","UNREVIEWED",IF(OR(H413="",I413="UNASSESSABLE",J413="UNASSESSABLE"),"UNSCORABLE",IF(H413&gt;=L413,IF(J413="FULL","CORRECT","PENDING"),IF(I413="FULL","CORRECT",IF(J413="FULL","LATE",IF(OR(I413="PARTIAL",J413="PARTIAL"),"PARTIAL","WRONG / MISSED"))))))))</x:f>
      </x:c>
      <x:c r="AA413" t="str">
        <x:f>IF(OR(A413="",M413&lt;&gt;"VERIFIED",H413="",K413="",J413&lt;&gt;"FULL"),"",K413-H413)</x:f>
      </x:c>
      <x:c r="AB413" t="str">
        <x:f>IF(OR(A413="",M413&lt;&gt;"VERIFIED",H413="",H413&gt;=L413,J413="FULL",J413="UNASSESSABLE"),"",L413-H413)</x:f>
      </x:c>
      <x:c r="AC413" t="n">
        <x:f>IF(AND(A413&lt;&gt;"",M413="VERIFIED",N413="YES",H413&lt;&gt;"",H413&lt;L413,I413&lt;&gt;"UNASSESSABLE",I413&lt;&gt;"UNREVIEWED",I413&lt;&gt;"NOT_DUE"),1,0)</x:f>
        <x:v>0</x:v>
      </x:c>
      <x:c r="AD413" t="n">
        <x:f>IF(AND(AC413=1,I413="FULL"),1,0)</x:f>
        <x:v>0</x:v>
      </x:c>
      <x:c r="AE413" t="n">
        <x:f>IF(AND(AC413=1,OR(I413="FULL",J413="FULL")),1,0)</x:f>
        <x:v>0</x:v>
      </x:c>
      <x:c r="AF413" s="21"/>
    </x:row>
    <x:row r="414">
      <x:c r="H414" s="21"/>
      <x:c r="K414" s="21"/>
      <x:c r="L414" s="21"/>
      <x:c r="Z414" t="str">
        <x:f>IF(A414="","",IF(M414="EXCLUDED","EXCLUDED",IF(M414&lt;&gt;"VERIFIED","UNREVIEWED",IF(OR(H414="",I414="UNASSESSABLE",J414="UNASSESSABLE"),"UNSCORABLE",IF(H414&gt;=L414,IF(J414="FULL","CORRECT","PENDING"),IF(I414="FULL","CORRECT",IF(J414="FULL","LATE",IF(OR(I414="PARTIAL",J414="PARTIAL"),"PARTIAL","WRONG / MISSED"))))))))</x:f>
      </x:c>
      <x:c r="AA414" t="str">
        <x:f>IF(OR(A414="",M414&lt;&gt;"VERIFIED",H414="",K414="",J414&lt;&gt;"FULL"),"",K414-H414)</x:f>
      </x:c>
      <x:c r="AB414" t="str">
        <x:f>IF(OR(A414="",M414&lt;&gt;"VERIFIED",H414="",H414&gt;=L414,J414="FULL",J414="UNASSESSABLE"),"",L414-H414)</x:f>
      </x:c>
      <x:c r="AC414" t="n">
        <x:f>IF(AND(A414&lt;&gt;"",M414="VERIFIED",N414="YES",H414&lt;&gt;"",H414&lt;L414,I414&lt;&gt;"UNASSESSABLE",I414&lt;&gt;"UNREVIEWED",I414&lt;&gt;"NOT_DUE"),1,0)</x:f>
        <x:v>0</x:v>
      </x:c>
      <x:c r="AD414" t="n">
        <x:f>IF(AND(AC414=1,I414="FULL"),1,0)</x:f>
        <x:v>0</x:v>
      </x:c>
      <x:c r="AE414" t="n">
        <x:f>IF(AND(AC414=1,OR(I414="FULL",J414="FULL")),1,0)</x:f>
        <x:v>0</x:v>
      </x:c>
      <x:c r="AF414" s="21"/>
    </x:row>
    <x:row r="415">
      <x:c r="H415" s="21"/>
      <x:c r="K415" s="21"/>
      <x:c r="L415" s="21"/>
      <x:c r="Z415" t="str">
        <x:f>IF(A415="","",IF(M415="EXCLUDED","EXCLUDED",IF(M415&lt;&gt;"VERIFIED","UNREVIEWED",IF(OR(H415="",I415="UNASSESSABLE",J415="UNASSESSABLE"),"UNSCORABLE",IF(H415&gt;=L415,IF(J415="FULL","CORRECT","PENDING"),IF(I415="FULL","CORRECT",IF(J415="FULL","LATE",IF(OR(I415="PARTIAL",J415="PARTIAL"),"PARTIAL","WRONG / MISSED"))))))))</x:f>
      </x:c>
      <x:c r="AA415" t="str">
        <x:f>IF(OR(A415="",M415&lt;&gt;"VERIFIED",H415="",K415="",J415&lt;&gt;"FULL"),"",K415-H415)</x:f>
      </x:c>
      <x:c r="AB415" t="str">
        <x:f>IF(OR(A415="",M415&lt;&gt;"VERIFIED",H415="",H415&gt;=L415,J415="FULL",J415="UNASSESSABLE"),"",L415-H415)</x:f>
      </x:c>
      <x:c r="AC415" t="n">
        <x:f>IF(AND(A415&lt;&gt;"",M415="VERIFIED",N415="YES",H415&lt;&gt;"",H415&lt;L415,I415&lt;&gt;"UNASSESSABLE",I415&lt;&gt;"UNREVIEWED",I415&lt;&gt;"NOT_DUE"),1,0)</x:f>
        <x:v>0</x:v>
      </x:c>
      <x:c r="AD415" t="n">
        <x:f>IF(AND(AC415=1,I415="FULL"),1,0)</x:f>
        <x:v>0</x:v>
      </x:c>
      <x:c r="AE415" t="n">
        <x:f>IF(AND(AC415=1,OR(I415="FULL",J415="FULL")),1,0)</x:f>
        <x:v>0</x:v>
      </x:c>
      <x:c r="AF415" s="21"/>
    </x:row>
    <x:row r="416">
      <x:c r="H416" s="21"/>
      <x:c r="K416" s="21"/>
      <x:c r="L416" s="21"/>
      <x:c r="Z416" t="str">
        <x:f>IF(A416="","",IF(M416="EXCLUDED","EXCLUDED",IF(M416&lt;&gt;"VERIFIED","UNREVIEWED",IF(OR(H416="",I416="UNASSESSABLE",J416="UNASSESSABLE"),"UNSCORABLE",IF(H416&gt;=L416,IF(J416="FULL","CORRECT","PENDING"),IF(I416="FULL","CORRECT",IF(J416="FULL","LATE",IF(OR(I416="PARTIAL",J416="PARTIAL"),"PARTIAL","WRONG / MISSED"))))))))</x:f>
      </x:c>
      <x:c r="AA416" t="str">
        <x:f>IF(OR(A416="",M416&lt;&gt;"VERIFIED",H416="",K416="",J416&lt;&gt;"FULL"),"",K416-H416)</x:f>
      </x:c>
      <x:c r="AB416" t="str">
        <x:f>IF(OR(A416="",M416&lt;&gt;"VERIFIED",H416="",H416&gt;=L416,J416="FULL",J416="UNASSESSABLE"),"",L416-H416)</x:f>
      </x:c>
      <x:c r="AC416" t="n">
        <x:f>IF(AND(A416&lt;&gt;"",M416="VERIFIED",N416="YES",H416&lt;&gt;"",H416&lt;L416,I416&lt;&gt;"UNASSESSABLE",I416&lt;&gt;"UNREVIEWED",I416&lt;&gt;"NOT_DUE"),1,0)</x:f>
        <x:v>0</x:v>
      </x:c>
      <x:c r="AD416" t="n">
        <x:f>IF(AND(AC416=1,I416="FULL"),1,0)</x:f>
        <x:v>0</x:v>
      </x:c>
      <x:c r="AE416" t="n">
        <x:f>IF(AND(AC416=1,OR(I416="FULL",J416="FULL")),1,0)</x:f>
        <x:v>0</x:v>
      </x:c>
      <x:c r="AF416" s="21"/>
    </x:row>
    <x:row r="417">
      <x:c r="H417" s="21"/>
      <x:c r="K417" s="21"/>
      <x:c r="L417" s="21"/>
      <x:c r="Z417" t="str">
        <x:f>IF(A417="","",IF(M417="EXCLUDED","EXCLUDED",IF(M417&lt;&gt;"VERIFIED","UNREVIEWED",IF(OR(H417="",I417="UNASSESSABLE",J417="UNASSESSABLE"),"UNSCORABLE",IF(H417&gt;=L417,IF(J417="FULL","CORRECT","PENDING"),IF(I417="FULL","CORRECT",IF(J417="FULL","LATE",IF(OR(I417="PARTIAL",J417="PARTIAL"),"PARTIAL","WRONG / MISSED"))))))))</x:f>
      </x:c>
      <x:c r="AA417" t="str">
        <x:f>IF(OR(A417="",M417&lt;&gt;"VERIFIED",H417="",K417="",J417&lt;&gt;"FULL"),"",K417-H417)</x:f>
      </x:c>
      <x:c r="AB417" t="str">
        <x:f>IF(OR(A417="",M417&lt;&gt;"VERIFIED",H417="",H417&gt;=L417,J417="FULL",J417="UNASSESSABLE"),"",L417-H417)</x:f>
      </x:c>
      <x:c r="AC417" t="n">
        <x:f>IF(AND(A417&lt;&gt;"",M417="VERIFIED",N417="YES",H417&lt;&gt;"",H417&lt;L417,I417&lt;&gt;"UNASSESSABLE",I417&lt;&gt;"UNREVIEWED",I417&lt;&gt;"NOT_DUE"),1,0)</x:f>
        <x:v>0</x:v>
      </x:c>
      <x:c r="AD417" t="n">
        <x:f>IF(AND(AC417=1,I417="FULL"),1,0)</x:f>
        <x:v>0</x:v>
      </x:c>
      <x:c r="AE417" t="n">
        <x:f>IF(AND(AC417=1,OR(I417="FULL",J417="FULL")),1,0)</x:f>
        <x:v>0</x:v>
      </x:c>
      <x:c r="AF417" s="21"/>
    </x:row>
    <x:row r="418">
      <x:c r="H418" s="21"/>
      <x:c r="K418" s="21"/>
      <x:c r="L418" s="21"/>
      <x:c r="Z418" t="str">
        <x:f>IF(A418="","",IF(M418="EXCLUDED","EXCLUDED",IF(M418&lt;&gt;"VERIFIED","UNREVIEWED",IF(OR(H418="",I418="UNASSESSABLE",J418="UNASSESSABLE"),"UNSCORABLE",IF(H418&gt;=L418,IF(J418="FULL","CORRECT","PENDING"),IF(I418="FULL","CORRECT",IF(J418="FULL","LATE",IF(OR(I418="PARTIAL",J418="PARTIAL"),"PARTIAL","WRONG / MISSED"))))))))</x:f>
      </x:c>
      <x:c r="AA418" t="str">
        <x:f>IF(OR(A418="",M418&lt;&gt;"VERIFIED",H418="",K418="",J418&lt;&gt;"FULL"),"",K418-H418)</x:f>
      </x:c>
      <x:c r="AB418" t="str">
        <x:f>IF(OR(A418="",M418&lt;&gt;"VERIFIED",H418="",H418&gt;=L418,J418="FULL",J418="UNASSESSABLE"),"",L418-H418)</x:f>
      </x:c>
      <x:c r="AC418" t="n">
        <x:f>IF(AND(A418&lt;&gt;"",M418="VERIFIED",N418="YES",H418&lt;&gt;"",H418&lt;L418,I418&lt;&gt;"UNASSESSABLE",I418&lt;&gt;"UNREVIEWED",I418&lt;&gt;"NOT_DUE"),1,0)</x:f>
        <x:v>0</x:v>
      </x:c>
      <x:c r="AD418" t="n">
        <x:f>IF(AND(AC418=1,I418="FULL"),1,0)</x:f>
        <x:v>0</x:v>
      </x:c>
      <x:c r="AE418" t="n">
        <x:f>IF(AND(AC418=1,OR(I418="FULL",J418="FULL")),1,0)</x:f>
        <x:v>0</x:v>
      </x:c>
      <x:c r="AF418" s="21"/>
    </x:row>
    <x:row r="419">
      <x:c r="H419" s="21"/>
      <x:c r="K419" s="21"/>
      <x:c r="L419" s="21"/>
      <x:c r="Z419" t="str">
        <x:f>IF(A419="","",IF(M419="EXCLUDED","EXCLUDED",IF(M419&lt;&gt;"VERIFIED","UNREVIEWED",IF(OR(H419="",I419="UNASSESSABLE",J419="UNASSESSABLE"),"UNSCORABLE",IF(H419&gt;=L419,IF(J419="FULL","CORRECT","PENDING"),IF(I419="FULL","CORRECT",IF(J419="FULL","LATE",IF(OR(I419="PARTIAL",J419="PARTIAL"),"PARTIAL","WRONG / MISSED"))))))))</x:f>
      </x:c>
      <x:c r="AA419" t="str">
        <x:f>IF(OR(A419="",M419&lt;&gt;"VERIFIED",H419="",K419="",J419&lt;&gt;"FULL"),"",K419-H419)</x:f>
      </x:c>
      <x:c r="AB419" t="str">
        <x:f>IF(OR(A419="",M419&lt;&gt;"VERIFIED",H419="",H419&gt;=L419,J419="FULL",J419="UNASSESSABLE"),"",L419-H419)</x:f>
      </x:c>
      <x:c r="AC419" t="n">
        <x:f>IF(AND(A419&lt;&gt;"",M419="VERIFIED",N419="YES",H419&lt;&gt;"",H419&lt;L419,I419&lt;&gt;"UNASSESSABLE",I419&lt;&gt;"UNREVIEWED",I419&lt;&gt;"NOT_DUE"),1,0)</x:f>
        <x:v>0</x:v>
      </x:c>
      <x:c r="AD419" t="n">
        <x:f>IF(AND(AC419=1,I419="FULL"),1,0)</x:f>
        <x:v>0</x:v>
      </x:c>
      <x:c r="AE419" t="n">
        <x:f>IF(AND(AC419=1,OR(I419="FULL",J419="FULL")),1,0)</x:f>
        <x:v>0</x:v>
      </x:c>
      <x:c r="AF419" s="21"/>
    </x:row>
    <x:row r="420">
      <x:c r="H420" s="21"/>
      <x:c r="K420" s="21"/>
      <x:c r="L420" s="21"/>
      <x:c r="Z420" t="str">
        <x:f>IF(A420="","",IF(M420="EXCLUDED","EXCLUDED",IF(M420&lt;&gt;"VERIFIED","UNREVIEWED",IF(OR(H420="",I420="UNASSESSABLE",J420="UNASSESSABLE"),"UNSCORABLE",IF(H420&gt;=L420,IF(J420="FULL","CORRECT","PENDING"),IF(I420="FULL","CORRECT",IF(J420="FULL","LATE",IF(OR(I420="PARTIAL",J420="PARTIAL"),"PARTIAL","WRONG / MISSED"))))))))</x:f>
      </x:c>
      <x:c r="AA420" t="str">
        <x:f>IF(OR(A420="",M420&lt;&gt;"VERIFIED",H420="",K420="",J420&lt;&gt;"FULL"),"",K420-H420)</x:f>
      </x:c>
      <x:c r="AB420" t="str">
        <x:f>IF(OR(A420="",M420&lt;&gt;"VERIFIED",H420="",H420&gt;=L420,J420="FULL",J420="UNASSESSABLE"),"",L420-H420)</x:f>
      </x:c>
      <x:c r="AC420" t="n">
        <x:f>IF(AND(A420&lt;&gt;"",M420="VERIFIED",N420="YES",H420&lt;&gt;"",H420&lt;L420,I420&lt;&gt;"UNASSESSABLE",I420&lt;&gt;"UNREVIEWED",I420&lt;&gt;"NOT_DUE"),1,0)</x:f>
        <x:v>0</x:v>
      </x:c>
      <x:c r="AD420" t="n">
        <x:f>IF(AND(AC420=1,I420="FULL"),1,0)</x:f>
        <x:v>0</x:v>
      </x:c>
      <x:c r="AE420" t="n">
        <x:f>IF(AND(AC420=1,OR(I420="FULL",J420="FULL")),1,0)</x:f>
        <x:v>0</x:v>
      </x:c>
      <x:c r="AF420" s="21"/>
    </x:row>
    <x:row r="421">
      <x:c r="H421" s="21"/>
      <x:c r="K421" s="21"/>
      <x:c r="L421" s="21"/>
      <x:c r="Z421" t="str">
        <x:f>IF(A421="","",IF(M421="EXCLUDED","EXCLUDED",IF(M421&lt;&gt;"VERIFIED","UNREVIEWED",IF(OR(H421="",I421="UNASSESSABLE",J421="UNASSESSABLE"),"UNSCORABLE",IF(H421&gt;=L421,IF(J421="FULL","CORRECT","PENDING"),IF(I421="FULL","CORRECT",IF(J421="FULL","LATE",IF(OR(I421="PARTIAL",J421="PARTIAL"),"PARTIAL","WRONG / MISSED"))))))))</x:f>
      </x:c>
      <x:c r="AA421" t="str">
        <x:f>IF(OR(A421="",M421&lt;&gt;"VERIFIED",H421="",K421="",J421&lt;&gt;"FULL"),"",K421-H421)</x:f>
      </x:c>
      <x:c r="AB421" t="str">
        <x:f>IF(OR(A421="",M421&lt;&gt;"VERIFIED",H421="",H421&gt;=L421,J421="FULL",J421="UNASSESSABLE"),"",L421-H421)</x:f>
      </x:c>
      <x:c r="AC421" t="n">
        <x:f>IF(AND(A421&lt;&gt;"",M421="VERIFIED",N421="YES",H421&lt;&gt;"",H421&lt;L421,I421&lt;&gt;"UNASSESSABLE",I421&lt;&gt;"UNREVIEWED",I421&lt;&gt;"NOT_DUE"),1,0)</x:f>
        <x:v>0</x:v>
      </x:c>
      <x:c r="AD421" t="n">
        <x:f>IF(AND(AC421=1,I421="FULL"),1,0)</x:f>
        <x:v>0</x:v>
      </x:c>
      <x:c r="AE421" t="n">
        <x:f>IF(AND(AC421=1,OR(I421="FULL",J421="FULL")),1,0)</x:f>
        <x:v>0</x:v>
      </x:c>
      <x:c r="AF421" s="21"/>
    </x:row>
    <x:row r="422">
      <x:c r="H422" s="21"/>
      <x:c r="K422" s="21"/>
      <x:c r="L422" s="21"/>
      <x:c r="Z422" t="str">
        <x:f>IF(A422="","",IF(M422="EXCLUDED","EXCLUDED",IF(M422&lt;&gt;"VERIFIED","UNREVIEWED",IF(OR(H422="",I422="UNASSESSABLE",J422="UNASSESSABLE"),"UNSCORABLE",IF(H422&gt;=L422,IF(J422="FULL","CORRECT","PENDING"),IF(I422="FULL","CORRECT",IF(J422="FULL","LATE",IF(OR(I422="PARTIAL",J422="PARTIAL"),"PARTIAL","WRONG / MISSED"))))))))</x:f>
      </x:c>
      <x:c r="AA422" t="str">
        <x:f>IF(OR(A422="",M422&lt;&gt;"VERIFIED",H422="",K422="",J422&lt;&gt;"FULL"),"",K422-H422)</x:f>
      </x:c>
      <x:c r="AB422" t="str">
        <x:f>IF(OR(A422="",M422&lt;&gt;"VERIFIED",H422="",H422&gt;=L422,J422="FULL",J422="UNASSESSABLE"),"",L422-H422)</x:f>
      </x:c>
      <x:c r="AC422" t="n">
        <x:f>IF(AND(A422&lt;&gt;"",M422="VERIFIED",N422="YES",H422&lt;&gt;"",H422&lt;L422,I422&lt;&gt;"UNASSESSABLE",I422&lt;&gt;"UNREVIEWED",I422&lt;&gt;"NOT_DUE"),1,0)</x:f>
        <x:v>0</x:v>
      </x:c>
      <x:c r="AD422" t="n">
        <x:f>IF(AND(AC422=1,I422="FULL"),1,0)</x:f>
        <x:v>0</x:v>
      </x:c>
      <x:c r="AE422" t="n">
        <x:f>IF(AND(AC422=1,OR(I422="FULL",J422="FULL")),1,0)</x:f>
        <x:v>0</x:v>
      </x:c>
      <x:c r="AF422" s="21"/>
    </x:row>
    <x:row r="423">
      <x:c r="H423" s="21"/>
      <x:c r="K423" s="21"/>
      <x:c r="L423" s="21"/>
      <x:c r="Z423" t="str">
        <x:f>IF(A423="","",IF(M423="EXCLUDED","EXCLUDED",IF(M423&lt;&gt;"VERIFIED","UNREVIEWED",IF(OR(H423="",I423="UNASSESSABLE",J423="UNASSESSABLE"),"UNSCORABLE",IF(H423&gt;=L423,IF(J423="FULL","CORRECT","PENDING"),IF(I423="FULL","CORRECT",IF(J423="FULL","LATE",IF(OR(I423="PARTIAL",J423="PARTIAL"),"PARTIAL","WRONG / MISSED"))))))))</x:f>
      </x:c>
      <x:c r="AA423" t="str">
        <x:f>IF(OR(A423="",M423&lt;&gt;"VERIFIED",H423="",K423="",J423&lt;&gt;"FULL"),"",K423-H423)</x:f>
      </x:c>
      <x:c r="AB423" t="str">
        <x:f>IF(OR(A423="",M423&lt;&gt;"VERIFIED",H423="",H423&gt;=L423,J423="FULL",J423="UNASSESSABLE"),"",L423-H423)</x:f>
      </x:c>
      <x:c r="AC423" t="n">
        <x:f>IF(AND(A423&lt;&gt;"",M423="VERIFIED",N423="YES",H423&lt;&gt;"",H423&lt;L423,I423&lt;&gt;"UNASSESSABLE",I423&lt;&gt;"UNREVIEWED",I423&lt;&gt;"NOT_DUE"),1,0)</x:f>
        <x:v>0</x:v>
      </x:c>
      <x:c r="AD423" t="n">
        <x:f>IF(AND(AC423=1,I423="FULL"),1,0)</x:f>
        <x:v>0</x:v>
      </x:c>
      <x:c r="AE423" t="n">
        <x:f>IF(AND(AC423=1,OR(I423="FULL",J423="FULL")),1,0)</x:f>
        <x:v>0</x:v>
      </x:c>
      <x:c r="AF423" s="21"/>
    </x:row>
    <x:row r="424">
      <x:c r="H424" s="21"/>
      <x:c r="K424" s="21"/>
      <x:c r="L424" s="21"/>
      <x:c r="Z424" t="str">
        <x:f>IF(A424="","",IF(M424="EXCLUDED","EXCLUDED",IF(M424&lt;&gt;"VERIFIED","UNREVIEWED",IF(OR(H424="",I424="UNASSESSABLE",J424="UNASSESSABLE"),"UNSCORABLE",IF(H424&gt;=L424,IF(J424="FULL","CORRECT","PENDING"),IF(I424="FULL","CORRECT",IF(J424="FULL","LATE",IF(OR(I424="PARTIAL",J424="PARTIAL"),"PARTIAL","WRONG / MISSED"))))))))</x:f>
      </x:c>
      <x:c r="AA424" t="str">
        <x:f>IF(OR(A424="",M424&lt;&gt;"VERIFIED",H424="",K424="",J424&lt;&gt;"FULL"),"",K424-H424)</x:f>
      </x:c>
      <x:c r="AB424" t="str">
        <x:f>IF(OR(A424="",M424&lt;&gt;"VERIFIED",H424="",H424&gt;=L424,J424="FULL",J424="UNASSESSABLE"),"",L424-H424)</x:f>
      </x:c>
      <x:c r="AC424" t="n">
        <x:f>IF(AND(A424&lt;&gt;"",M424="VERIFIED",N424="YES",H424&lt;&gt;"",H424&lt;L424,I424&lt;&gt;"UNASSESSABLE",I424&lt;&gt;"UNREVIEWED",I424&lt;&gt;"NOT_DUE"),1,0)</x:f>
        <x:v>0</x:v>
      </x:c>
      <x:c r="AD424" t="n">
        <x:f>IF(AND(AC424=1,I424="FULL"),1,0)</x:f>
        <x:v>0</x:v>
      </x:c>
      <x:c r="AE424" t="n">
        <x:f>IF(AND(AC424=1,OR(I424="FULL",J424="FULL")),1,0)</x:f>
        <x:v>0</x:v>
      </x:c>
      <x:c r="AF424" s="21"/>
    </x:row>
    <x:row r="425">
      <x:c r="H425" s="21"/>
      <x:c r="K425" s="21"/>
      <x:c r="L425" s="21"/>
      <x:c r="Z425" t="str">
        <x:f>IF(A425="","",IF(M425="EXCLUDED","EXCLUDED",IF(M425&lt;&gt;"VERIFIED","UNREVIEWED",IF(OR(H425="",I425="UNASSESSABLE",J425="UNASSESSABLE"),"UNSCORABLE",IF(H425&gt;=L425,IF(J425="FULL","CORRECT","PENDING"),IF(I425="FULL","CORRECT",IF(J425="FULL","LATE",IF(OR(I425="PARTIAL",J425="PARTIAL"),"PARTIAL","WRONG / MISSED"))))))))</x:f>
      </x:c>
      <x:c r="AA425" t="str">
        <x:f>IF(OR(A425="",M425&lt;&gt;"VERIFIED",H425="",K425="",J425&lt;&gt;"FULL"),"",K425-H425)</x:f>
      </x:c>
      <x:c r="AB425" t="str">
        <x:f>IF(OR(A425="",M425&lt;&gt;"VERIFIED",H425="",H425&gt;=L425,J425="FULL",J425="UNASSESSABLE"),"",L425-H425)</x:f>
      </x:c>
      <x:c r="AC425" t="n">
        <x:f>IF(AND(A425&lt;&gt;"",M425="VERIFIED",N425="YES",H425&lt;&gt;"",H425&lt;L425,I425&lt;&gt;"UNASSESSABLE",I425&lt;&gt;"UNREVIEWED",I425&lt;&gt;"NOT_DUE"),1,0)</x:f>
        <x:v>0</x:v>
      </x:c>
      <x:c r="AD425" t="n">
        <x:f>IF(AND(AC425=1,I425="FULL"),1,0)</x:f>
        <x:v>0</x:v>
      </x:c>
      <x:c r="AE425" t="n">
        <x:f>IF(AND(AC425=1,OR(I425="FULL",J425="FULL")),1,0)</x:f>
        <x:v>0</x:v>
      </x:c>
      <x:c r="AF425" s="21"/>
    </x:row>
    <x:row r="426">
      <x:c r="H426" s="21"/>
      <x:c r="K426" s="21"/>
      <x:c r="L426" s="21"/>
      <x:c r="Z426" t="str">
        <x:f>IF(A426="","",IF(M426="EXCLUDED","EXCLUDED",IF(M426&lt;&gt;"VERIFIED","UNREVIEWED",IF(OR(H426="",I426="UNASSESSABLE",J426="UNASSESSABLE"),"UNSCORABLE",IF(H426&gt;=L426,IF(J426="FULL","CORRECT","PENDING"),IF(I426="FULL","CORRECT",IF(J426="FULL","LATE",IF(OR(I426="PARTIAL",J426="PARTIAL"),"PARTIAL","WRONG / MISSED"))))))))</x:f>
      </x:c>
      <x:c r="AA426" t="str">
        <x:f>IF(OR(A426="",M426&lt;&gt;"VERIFIED",H426="",K426="",J426&lt;&gt;"FULL"),"",K426-H426)</x:f>
      </x:c>
      <x:c r="AB426" t="str">
        <x:f>IF(OR(A426="",M426&lt;&gt;"VERIFIED",H426="",H426&gt;=L426,J426="FULL",J426="UNASSESSABLE"),"",L426-H426)</x:f>
      </x:c>
      <x:c r="AC426" t="n">
        <x:f>IF(AND(A426&lt;&gt;"",M426="VERIFIED",N426="YES",H426&lt;&gt;"",H426&lt;L426,I426&lt;&gt;"UNASSESSABLE",I426&lt;&gt;"UNREVIEWED",I426&lt;&gt;"NOT_DUE"),1,0)</x:f>
        <x:v>0</x:v>
      </x:c>
      <x:c r="AD426" t="n">
        <x:f>IF(AND(AC426=1,I426="FULL"),1,0)</x:f>
        <x:v>0</x:v>
      </x:c>
      <x:c r="AE426" t="n">
        <x:f>IF(AND(AC426=1,OR(I426="FULL",J426="FULL")),1,0)</x:f>
        <x:v>0</x:v>
      </x:c>
      <x:c r="AF426" s="21"/>
    </x:row>
    <x:row r="427">
      <x:c r="H427" s="21"/>
      <x:c r="K427" s="21"/>
      <x:c r="L427" s="21"/>
      <x:c r="Z427" t="str">
        <x:f>IF(A427="","",IF(M427="EXCLUDED","EXCLUDED",IF(M427&lt;&gt;"VERIFIED","UNREVIEWED",IF(OR(H427="",I427="UNASSESSABLE",J427="UNASSESSABLE"),"UNSCORABLE",IF(H427&gt;=L427,IF(J427="FULL","CORRECT","PENDING"),IF(I427="FULL","CORRECT",IF(J427="FULL","LATE",IF(OR(I427="PARTIAL",J427="PARTIAL"),"PARTIAL","WRONG / MISSED"))))))))</x:f>
      </x:c>
      <x:c r="AA427" t="str">
        <x:f>IF(OR(A427="",M427&lt;&gt;"VERIFIED",H427="",K427="",J427&lt;&gt;"FULL"),"",K427-H427)</x:f>
      </x:c>
      <x:c r="AB427" t="str">
        <x:f>IF(OR(A427="",M427&lt;&gt;"VERIFIED",H427="",H427&gt;=L427,J427="FULL",J427="UNASSESSABLE"),"",L427-H427)</x:f>
      </x:c>
      <x:c r="AC427" t="n">
        <x:f>IF(AND(A427&lt;&gt;"",M427="VERIFIED",N427="YES",H427&lt;&gt;"",H427&lt;L427,I427&lt;&gt;"UNASSESSABLE",I427&lt;&gt;"UNREVIEWED",I427&lt;&gt;"NOT_DUE"),1,0)</x:f>
        <x:v>0</x:v>
      </x:c>
      <x:c r="AD427" t="n">
        <x:f>IF(AND(AC427=1,I427="FULL"),1,0)</x:f>
        <x:v>0</x:v>
      </x:c>
      <x:c r="AE427" t="n">
        <x:f>IF(AND(AC427=1,OR(I427="FULL",J427="FULL")),1,0)</x:f>
        <x:v>0</x:v>
      </x:c>
      <x:c r="AF427" s="21"/>
    </x:row>
    <x:row r="428">
      <x:c r="H428" s="21"/>
      <x:c r="K428" s="21"/>
      <x:c r="L428" s="21"/>
      <x:c r="Z428" t="str">
        <x:f>IF(A428="","",IF(M428="EXCLUDED","EXCLUDED",IF(M428&lt;&gt;"VERIFIED","UNREVIEWED",IF(OR(H428="",I428="UNASSESSABLE",J428="UNASSESSABLE"),"UNSCORABLE",IF(H428&gt;=L428,IF(J428="FULL","CORRECT","PENDING"),IF(I428="FULL","CORRECT",IF(J428="FULL","LATE",IF(OR(I428="PARTIAL",J428="PARTIAL"),"PARTIAL","WRONG / MISSED"))))))))</x:f>
      </x:c>
      <x:c r="AA428" t="str">
        <x:f>IF(OR(A428="",M428&lt;&gt;"VERIFIED",H428="",K428="",J428&lt;&gt;"FULL"),"",K428-H428)</x:f>
      </x:c>
      <x:c r="AB428" t="str">
        <x:f>IF(OR(A428="",M428&lt;&gt;"VERIFIED",H428="",H428&gt;=L428,J428="FULL",J428="UNASSESSABLE"),"",L428-H428)</x:f>
      </x:c>
      <x:c r="AC428" t="n">
        <x:f>IF(AND(A428&lt;&gt;"",M428="VERIFIED",N428="YES",H428&lt;&gt;"",H428&lt;L428,I428&lt;&gt;"UNASSESSABLE",I428&lt;&gt;"UNREVIEWED",I428&lt;&gt;"NOT_DUE"),1,0)</x:f>
        <x:v>0</x:v>
      </x:c>
      <x:c r="AD428" t="n">
        <x:f>IF(AND(AC428=1,I428="FULL"),1,0)</x:f>
        <x:v>0</x:v>
      </x:c>
      <x:c r="AE428" t="n">
        <x:f>IF(AND(AC428=1,OR(I428="FULL",J428="FULL")),1,0)</x:f>
        <x:v>0</x:v>
      </x:c>
      <x:c r="AF428" s="21"/>
    </x:row>
    <x:row r="429">
      <x:c r="H429" s="21"/>
      <x:c r="K429" s="21"/>
      <x:c r="L429" s="21"/>
      <x:c r="Z429" t="str">
        <x:f>IF(A429="","",IF(M429="EXCLUDED","EXCLUDED",IF(M429&lt;&gt;"VERIFIED","UNREVIEWED",IF(OR(H429="",I429="UNASSESSABLE",J429="UNASSESSABLE"),"UNSCORABLE",IF(H429&gt;=L429,IF(J429="FULL","CORRECT","PENDING"),IF(I429="FULL","CORRECT",IF(J429="FULL","LATE",IF(OR(I429="PARTIAL",J429="PARTIAL"),"PARTIAL","WRONG / MISSED"))))))))</x:f>
      </x:c>
      <x:c r="AA429" t="str">
        <x:f>IF(OR(A429="",M429&lt;&gt;"VERIFIED",H429="",K429="",J429&lt;&gt;"FULL"),"",K429-H429)</x:f>
      </x:c>
      <x:c r="AB429" t="str">
        <x:f>IF(OR(A429="",M429&lt;&gt;"VERIFIED",H429="",H429&gt;=L429,J429="FULL",J429="UNASSESSABLE"),"",L429-H429)</x:f>
      </x:c>
      <x:c r="AC429" t="n">
        <x:f>IF(AND(A429&lt;&gt;"",M429="VERIFIED",N429="YES",H429&lt;&gt;"",H429&lt;L429,I429&lt;&gt;"UNASSESSABLE",I429&lt;&gt;"UNREVIEWED",I429&lt;&gt;"NOT_DUE"),1,0)</x:f>
        <x:v>0</x:v>
      </x:c>
      <x:c r="AD429" t="n">
        <x:f>IF(AND(AC429=1,I429="FULL"),1,0)</x:f>
        <x:v>0</x:v>
      </x:c>
      <x:c r="AE429" t="n">
        <x:f>IF(AND(AC429=1,OR(I429="FULL",J429="FULL")),1,0)</x:f>
        <x:v>0</x:v>
      </x:c>
      <x:c r="AF429" s="21"/>
    </x:row>
    <x:row r="430">
      <x:c r="H430" s="21"/>
      <x:c r="K430" s="21"/>
      <x:c r="L430" s="21"/>
      <x:c r="Z430" t="str">
        <x:f>IF(A430="","",IF(M430="EXCLUDED","EXCLUDED",IF(M430&lt;&gt;"VERIFIED","UNREVIEWED",IF(OR(H430="",I430="UNASSESSABLE",J430="UNASSESSABLE"),"UNSCORABLE",IF(H430&gt;=L430,IF(J430="FULL","CORRECT","PENDING"),IF(I430="FULL","CORRECT",IF(J430="FULL","LATE",IF(OR(I430="PARTIAL",J430="PARTIAL"),"PARTIAL","WRONG / MISSED"))))))))</x:f>
      </x:c>
      <x:c r="AA430" t="str">
        <x:f>IF(OR(A430="",M430&lt;&gt;"VERIFIED",H430="",K430="",J430&lt;&gt;"FULL"),"",K430-H430)</x:f>
      </x:c>
      <x:c r="AB430" t="str">
        <x:f>IF(OR(A430="",M430&lt;&gt;"VERIFIED",H430="",H430&gt;=L430,J430="FULL",J430="UNASSESSABLE"),"",L430-H430)</x:f>
      </x:c>
      <x:c r="AC430" t="n">
        <x:f>IF(AND(A430&lt;&gt;"",M430="VERIFIED",N430="YES",H430&lt;&gt;"",H430&lt;L430,I430&lt;&gt;"UNASSESSABLE",I430&lt;&gt;"UNREVIEWED",I430&lt;&gt;"NOT_DUE"),1,0)</x:f>
        <x:v>0</x:v>
      </x:c>
      <x:c r="AD430" t="n">
        <x:f>IF(AND(AC430=1,I430="FULL"),1,0)</x:f>
        <x:v>0</x:v>
      </x:c>
      <x:c r="AE430" t="n">
        <x:f>IF(AND(AC430=1,OR(I430="FULL",J430="FULL")),1,0)</x:f>
        <x:v>0</x:v>
      </x:c>
      <x:c r="AF430" s="21"/>
    </x:row>
    <x:row r="431">
      <x:c r="H431" s="21"/>
      <x:c r="K431" s="21"/>
      <x:c r="L431" s="21"/>
      <x:c r="Z431" t="str">
        <x:f>IF(A431="","",IF(M431="EXCLUDED","EXCLUDED",IF(M431&lt;&gt;"VERIFIED","UNREVIEWED",IF(OR(H431="",I431="UNASSESSABLE",J431="UNASSESSABLE"),"UNSCORABLE",IF(H431&gt;=L431,IF(J431="FULL","CORRECT","PENDING"),IF(I431="FULL","CORRECT",IF(J431="FULL","LATE",IF(OR(I431="PARTIAL",J431="PARTIAL"),"PARTIAL","WRONG / MISSED"))))))))</x:f>
      </x:c>
      <x:c r="AA431" t="str">
        <x:f>IF(OR(A431="",M431&lt;&gt;"VERIFIED",H431="",K431="",J431&lt;&gt;"FULL"),"",K431-H431)</x:f>
      </x:c>
      <x:c r="AB431" t="str">
        <x:f>IF(OR(A431="",M431&lt;&gt;"VERIFIED",H431="",H431&gt;=L431,J431="FULL",J431="UNASSESSABLE"),"",L431-H431)</x:f>
      </x:c>
      <x:c r="AC431" t="n">
        <x:f>IF(AND(A431&lt;&gt;"",M431="VERIFIED",N431="YES",H431&lt;&gt;"",H431&lt;L431,I431&lt;&gt;"UNASSESSABLE",I431&lt;&gt;"UNREVIEWED",I431&lt;&gt;"NOT_DUE"),1,0)</x:f>
        <x:v>0</x:v>
      </x:c>
      <x:c r="AD431" t="n">
        <x:f>IF(AND(AC431=1,I431="FULL"),1,0)</x:f>
        <x:v>0</x:v>
      </x:c>
      <x:c r="AE431" t="n">
        <x:f>IF(AND(AC431=1,OR(I431="FULL",J431="FULL")),1,0)</x:f>
        <x:v>0</x:v>
      </x:c>
      <x:c r="AF431" s="21"/>
    </x:row>
    <x:row r="432">
      <x:c r="H432" s="21"/>
      <x:c r="K432" s="21"/>
      <x:c r="L432" s="21"/>
      <x:c r="Z432" t="str">
        <x:f>IF(A432="","",IF(M432="EXCLUDED","EXCLUDED",IF(M432&lt;&gt;"VERIFIED","UNREVIEWED",IF(OR(H432="",I432="UNASSESSABLE",J432="UNASSESSABLE"),"UNSCORABLE",IF(H432&gt;=L432,IF(J432="FULL","CORRECT","PENDING"),IF(I432="FULL","CORRECT",IF(J432="FULL","LATE",IF(OR(I432="PARTIAL",J432="PARTIAL"),"PARTIAL","WRONG / MISSED"))))))))</x:f>
      </x:c>
      <x:c r="AA432" t="str">
        <x:f>IF(OR(A432="",M432&lt;&gt;"VERIFIED",H432="",K432="",J432&lt;&gt;"FULL"),"",K432-H432)</x:f>
      </x:c>
      <x:c r="AB432" t="str">
        <x:f>IF(OR(A432="",M432&lt;&gt;"VERIFIED",H432="",H432&gt;=L432,J432="FULL",J432="UNASSESSABLE"),"",L432-H432)</x:f>
      </x:c>
      <x:c r="AC432" t="n">
        <x:f>IF(AND(A432&lt;&gt;"",M432="VERIFIED",N432="YES",H432&lt;&gt;"",H432&lt;L432,I432&lt;&gt;"UNASSESSABLE",I432&lt;&gt;"UNREVIEWED",I432&lt;&gt;"NOT_DUE"),1,0)</x:f>
        <x:v>0</x:v>
      </x:c>
      <x:c r="AD432" t="n">
        <x:f>IF(AND(AC432=1,I432="FULL"),1,0)</x:f>
        <x:v>0</x:v>
      </x:c>
      <x:c r="AE432" t="n">
        <x:f>IF(AND(AC432=1,OR(I432="FULL",J432="FULL")),1,0)</x:f>
        <x:v>0</x:v>
      </x:c>
      <x:c r="AF432" s="21"/>
    </x:row>
    <x:row r="433">
      <x:c r="H433" s="21"/>
      <x:c r="K433" s="21"/>
      <x:c r="L433" s="21"/>
      <x:c r="Z433" t="str">
        <x:f>IF(A433="","",IF(M433="EXCLUDED","EXCLUDED",IF(M433&lt;&gt;"VERIFIED","UNREVIEWED",IF(OR(H433="",I433="UNASSESSABLE",J433="UNASSESSABLE"),"UNSCORABLE",IF(H433&gt;=L433,IF(J433="FULL","CORRECT","PENDING"),IF(I433="FULL","CORRECT",IF(J433="FULL","LATE",IF(OR(I433="PARTIAL",J433="PARTIAL"),"PARTIAL","WRONG / MISSED"))))))))</x:f>
      </x:c>
      <x:c r="AA433" t="str">
        <x:f>IF(OR(A433="",M433&lt;&gt;"VERIFIED",H433="",K433="",J433&lt;&gt;"FULL"),"",K433-H433)</x:f>
      </x:c>
      <x:c r="AB433" t="str">
        <x:f>IF(OR(A433="",M433&lt;&gt;"VERIFIED",H433="",H433&gt;=L433,J433="FULL",J433="UNASSESSABLE"),"",L433-H433)</x:f>
      </x:c>
      <x:c r="AC433" t="n">
        <x:f>IF(AND(A433&lt;&gt;"",M433="VERIFIED",N433="YES",H433&lt;&gt;"",H433&lt;L433,I433&lt;&gt;"UNASSESSABLE",I433&lt;&gt;"UNREVIEWED",I433&lt;&gt;"NOT_DUE"),1,0)</x:f>
        <x:v>0</x:v>
      </x:c>
      <x:c r="AD433" t="n">
        <x:f>IF(AND(AC433=1,I433="FULL"),1,0)</x:f>
        <x:v>0</x:v>
      </x:c>
      <x:c r="AE433" t="n">
        <x:f>IF(AND(AC433=1,OR(I433="FULL",J433="FULL")),1,0)</x:f>
        <x:v>0</x:v>
      </x:c>
      <x:c r="AF433" s="21"/>
    </x:row>
    <x:row r="434">
      <x:c r="H434" s="21"/>
      <x:c r="K434" s="21"/>
      <x:c r="L434" s="21"/>
      <x:c r="Z434" t="str">
        <x:f>IF(A434="","",IF(M434="EXCLUDED","EXCLUDED",IF(M434&lt;&gt;"VERIFIED","UNREVIEWED",IF(OR(H434="",I434="UNASSESSABLE",J434="UNASSESSABLE"),"UNSCORABLE",IF(H434&gt;=L434,IF(J434="FULL","CORRECT","PENDING"),IF(I434="FULL","CORRECT",IF(J434="FULL","LATE",IF(OR(I434="PARTIAL",J434="PARTIAL"),"PARTIAL","WRONG / MISSED"))))))))</x:f>
      </x:c>
      <x:c r="AA434" t="str">
        <x:f>IF(OR(A434="",M434&lt;&gt;"VERIFIED",H434="",K434="",J434&lt;&gt;"FULL"),"",K434-H434)</x:f>
      </x:c>
      <x:c r="AB434" t="str">
        <x:f>IF(OR(A434="",M434&lt;&gt;"VERIFIED",H434="",H434&gt;=L434,J434="FULL",J434="UNASSESSABLE"),"",L434-H434)</x:f>
      </x:c>
      <x:c r="AC434" t="n">
        <x:f>IF(AND(A434&lt;&gt;"",M434="VERIFIED",N434="YES",H434&lt;&gt;"",H434&lt;L434,I434&lt;&gt;"UNASSESSABLE",I434&lt;&gt;"UNREVIEWED",I434&lt;&gt;"NOT_DUE"),1,0)</x:f>
        <x:v>0</x:v>
      </x:c>
      <x:c r="AD434" t="n">
        <x:f>IF(AND(AC434=1,I434="FULL"),1,0)</x:f>
        <x:v>0</x:v>
      </x:c>
      <x:c r="AE434" t="n">
        <x:f>IF(AND(AC434=1,OR(I434="FULL",J434="FULL")),1,0)</x:f>
        <x:v>0</x:v>
      </x:c>
      <x:c r="AF434" s="21"/>
    </x:row>
    <x:row r="435">
      <x:c r="H435" s="21"/>
      <x:c r="K435" s="21"/>
      <x:c r="L435" s="21"/>
      <x:c r="Z435" t="str">
        <x:f>IF(A435="","",IF(M435="EXCLUDED","EXCLUDED",IF(M435&lt;&gt;"VERIFIED","UNREVIEWED",IF(OR(H435="",I435="UNASSESSABLE",J435="UNASSESSABLE"),"UNSCORABLE",IF(H435&gt;=L435,IF(J435="FULL","CORRECT","PENDING"),IF(I435="FULL","CORRECT",IF(J435="FULL","LATE",IF(OR(I435="PARTIAL",J435="PARTIAL"),"PARTIAL","WRONG / MISSED"))))))))</x:f>
      </x:c>
      <x:c r="AA435" t="str">
        <x:f>IF(OR(A435="",M435&lt;&gt;"VERIFIED",H435="",K435="",J435&lt;&gt;"FULL"),"",K435-H435)</x:f>
      </x:c>
      <x:c r="AB435" t="str">
        <x:f>IF(OR(A435="",M435&lt;&gt;"VERIFIED",H435="",H435&gt;=L435,J435="FULL",J435="UNASSESSABLE"),"",L435-H435)</x:f>
      </x:c>
      <x:c r="AC435" t="n">
        <x:f>IF(AND(A435&lt;&gt;"",M435="VERIFIED",N435="YES",H435&lt;&gt;"",H435&lt;L435,I435&lt;&gt;"UNASSESSABLE",I435&lt;&gt;"UNREVIEWED",I435&lt;&gt;"NOT_DUE"),1,0)</x:f>
        <x:v>0</x:v>
      </x:c>
      <x:c r="AD435" t="n">
        <x:f>IF(AND(AC435=1,I435="FULL"),1,0)</x:f>
        <x:v>0</x:v>
      </x:c>
      <x:c r="AE435" t="n">
        <x:f>IF(AND(AC435=1,OR(I435="FULL",J435="FULL")),1,0)</x:f>
        <x:v>0</x:v>
      </x:c>
      <x:c r="AF435" s="21"/>
    </x:row>
    <x:row r="436">
      <x:c r="H436" s="21"/>
      <x:c r="K436" s="21"/>
      <x:c r="L436" s="21"/>
      <x:c r="Z436" t="str">
        <x:f>IF(A436="","",IF(M436="EXCLUDED","EXCLUDED",IF(M436&lt;&gt;"VERIFIED","UNREVIEWED",IF(OR(H436="",I436="UNASSESSABLE",J436="UNASSESSABLE"),"UNSCORABLE",IF(H436&gt;=L436,IF(J436="FULL","CORRECT","PENDING"),IF(I436="FULL","CORRECT",IF(J436="FULL","LATE",IF(OR(I436="PARTIAL",J436="PARTIAL"),"PARTIAL","WRONG / MISSED"))))))))</x:f>
      </x:c>
      <x:c r="AA436" t="str">
        <x:f>IF(OR(A436="",M436&lt;&gt;"VERIFIED",H436="",K436="",J436&lt;&gt;"FULL"),"",K436-H436)</x:f>
      </x:c>
      <x:c r="AB436" t="str">
        <x:f>IF(OR(A436="",M436&lt;&gt;"VERIFIED",H436="",H436&gt;=L436,J436="FULL",J436="UNASSESSABLE"),"",L436-H436)</x:f>
      </x:c>
      <x:c r="AC436" t="n">
        <x:f>IF(AND(A436&lt;&gt;"",M436="VERIFIED",N436="YES",H436&lt;&gt;"",H436&lt;L436,I436&lt;&gt;"UNASSESSABLE",I436&lt;&gt;"UNREVIEWED",I436&lt;&gt;"NOT_DUE"),1,0)</x:f>
        <x:v>0</x:v>
      </x:c>
      <x:c r="AD436" t="n">
        <x:f>IF(AND(AC436=1,I436="FULL"),1,0)</x:f>
        <x:v>0</x:v>
      </x:c>
      <x:c r="AE436" t="n">
        <x:f>IF(AND(AC436=1,OR(I436="FULL",J436="FULL")),1,0)</x:f>
        <x:v>0</x:v>
      </x:c>
      <x:c r="AF436" s="21"/>
    </x:row>
    <x:row r="437">
      <x:c r="H437" s="21"/>
      <x:c r="K437" s="21"/>
      <x:c r="L437" s="21"/>
      <x:c r="Z437" t="str">
        <x:f>IF(A437="","",IF(M437="EXCLUDED","EXCLUDED",IF(M437&lt;&gt;"VERIFIED","UNREVIEWED",IF(OR(H437="",I437="UNASSESSABLE",J437="UNASSESSABLE"),"UNSCORABLE",IF(H437&gt;=L437,IF(J437="FULL","CORRECT","PENDING"),IF(I437="FULL","CORRECT",IF(J437="FULL","LATE",IF(OR(I437="PARTIAL",J437="PARTIAL"),"PARTIAL","WRONG / MISSED"))))))))</x:f>
      </x:c>
      <x:c r="AA437" t="str">
        <x:f>IF(OR(A437="",M437&lt;&gt;"VERIFIED",H437="",K437="",J437&lt;&gt;"FULL"),"",K437-H437)</x:f>
      </x:c>
      <x:c r="AB437" t="str">
        <x:f>IF(OR(A437="",M437&lt;&gt;"VERIFIED",H437="",H437&gt;=L437,J437="FULL",J437="UNASSESSABLE"),"",L437-H437)</x:f>
      </x:c>
      <x:c r="AC437" t="n">
        <x:f>IF(AND(A437&lt;&gt;"",M437="VERIFIED",N437="YES",H437&lt;&gt;"",H437&lt;L437,I437&lt;&gt;"UNASSESSABLE",I437&lt;&gt;"UNREVIEWED",I437&lt;&gt;"NOT_DUE"),1,0)</x:f>
        <x:v>0</x:v>
      </x:c>
      <x:c r="AD437" t="n">
        <x:f>IF(AND(AC437=1,I437="FULL"),1,0)</x:f>
        <x:v>0</x:v>
      </x:c>
      <x:c r="AE437" t="n">
        <x:f>IF(AND(AC437=1,OR(I437="FULL",J437="FULL")),1,0)</x:f>
        <x:v>0</x:v>
      </x:c>
      <x:c r="AF437" s="21"/>
    </x:row>
    <x:row r="438">
      <x:c r="H438" s="21"/>
      <x:c r="K438" s="21"/>
      <x:c r="L438" s="21"/>
      <x:c r="Z438" t="str">
        <x:f>IF(A438="","",IF(M438="EXCLUDED","EXCLUDED",IF(M438&lt;&gt;"VERIFIED","UNREVIEWED",IF(OR(H438="",I438="UNASSESSABLE",J438="UNASSESSABLE"),"UNSCORABLE",IF(H438&gt;=L438,IF(J438="FULL","CORRECT","PENDING"),IF(I438="FULL","CORRECT",IF(J438="FULL","LATE",IF(OR(I438="PARTIAL",J438="PARTIAL"),"PARTIAL","WRONG / MISSED"))))))))</x:f>
      </x:c>
      <x:c r="AA438" t="str">
        <x:f>IF(OR(A438="",M438&lt;&gt;"VERIFIED",H438="",K438="",J438&lt;&gt;"FULL"),"",K438-H438)</x:f>
      </x:c>
      <x:c r="AB438" t="str">
        <x:f>IF(OR(A438="",M438&lt;&gt;"VERIFIED",H438="",H438&gt;=L438,J438="FULL",J438="UNASSESSABLE"),"",L438-H438)</x:f>
      </x:c>
      <x:c r="AC438" t="n">
        <x:f>IF(AND(A438&lt;&gt;"",M438="VERIFIED",N438="YES",H438&lt;&gt;"",H438&lt;L438,I438&lt;&gt;"UNASSESSABLE",I438&lt;&gt;"UNREVIEWED",I438&lt;&gt;"NOT_DUE"),1,0)</x:f>
        <x:v>0</x:v>
      </x:c>
      <x:c r="AD438" t="n">
        <x:f>IF(AND(AC438=1,I438="FULL"),1,0)</x:f>
        <x:v>0</x:v>
      </x:c>
      <x:c r="AE438" t="n">
        <x:f>IF(AND(AC438=1,OR(I438="FULL",J438="FULL")),1,0)</x:f>
        <x:v>0</x:v>
      </x:c>
      <x:c r="AF438" s="21"/>
    </x:row>
    <x:row r="439">
      <x:c r="H439" s="21"/>
      <x:c r="K439" s="21"/>
      <x:c r="L439" s="21"/>
      <x:c r="Z439" t="str">
        <x:f>IF(A439="","",IF(M439="EXCLUDED","EXCLUDED",IF(M439&lt;&gt;"VERIFIED","UNREVIEWED",IF(OR(H439="",I439="UNASSESSABLE",J439="UNASSESSABLE"),"UNSCORABLE",IF(H439&gt;=L439,IF(J439="FULL","CORRECT","PENDING"),IF(I439="FULL","CORRECT",IF(J439="FULL","LATE",IF(OR(I439="PARTIAL",J439="PARTIAL"),"PARTIAL","WRONG / MISSED"))))))))</x:f>
      </x:c>
      <x:c r="AA439" t="str">
        <x:f>IF(OR(A439="",M439&lt;&gt;"VERIFIED",H439="",K439="",J439&lt;&gt;"FULL"),"",K439-H439)</x:f>
      </x:c>
      <x:c r="AB439" t="str">
        <x:f>IF(OR(A439="",M439&lt;&gt;"VERIFIED",H439="",H439&gt;=L439,J439="FULL",J439="UNASSESSABLE"),"",L439-H439)</x:f>
      </x:c>
      <x:c r="AC439" t="n">
        <x:f>IF(AND(A439&lt;&gt;"",M439="VERIFIED",N439="YES",H439&lt;&gt;"",H439&lt;L439,I439&lt;&gt;"UNASSESSABLE",I439&lt;&gt;"UNREVIEWED",I439&lt;&gt;"NOT_DUE"),1,0)</x:f>
        <x:v>0</x:v>
      </x:c>
      <x:c r="AD439" t="n">
        <x:f>IF(AND(AC439=1,I439="FULL"),1,0)</x:f>
        <x:v>0</x:v>
      </x:c>
      <x:c r="AE439" t="n">
        <x:f>IF(AND(AC439=1,OR(I439="FULL",J439="FULL")),1,0)</x:f>
        <x:v>0</x:v>
      </x:c>
      <x:c r="AF439" s="21"/>
    </x:row>
    <x:row r="440">
      <x:c r="H440" s="21"/>
      <x:c r="K440" s="21"/>
      <x:c r="L440" s="21"/>
      <x:c r="Z440" t="str">
        <x:f>IF(A440="","",IF(M440="EXCLUDED","EXCLUDED",IF(M440&lt;&gt;"VERIFIED","UNREVIEWED",IF(OR(H440="",I440="UNASSESSABLE",J440="UNASSESSABLE"),"UNSCORABLE",IF(H440&gt;=L440,IF(J440="FULL","CORRECT","PENDING"),IF(I440="FULL","CORRECT",IF(J440="FULL","LATE",IF(OR(I440="PARTIAL",J440="PARTIAL"),"PARTIAL","WRONG / MISSED"))))))))</x:f>
      </x:c>
      <x:c r="AA440" t="str">
        <x:f>IF(OR(A440="",M440&lt;&gt;"VERIFIED",H440="",K440="",J440&lt;&gt;"FULL"),"",K440-H440)</x:f>
      </x:c>
      <x:c r="AB440" t="str">
        <x:f>IF(OR(A440="",M440&lt;&gt;"VERIFIED",H440="",H440&gt;=L440,J440="FULL",J440="UNASSESSABLE"),"",L440-H440)</x:f>
      </x:c>
      <x:c r="AC440" t="n">
        <x:f>IF(AND(A440&lt;&gt;"",M440="VERIFIED",N440="YES",H440&lt;&gt;"",H440&lt;L440,I440&lt;&gt;"UNASSESSABLE",I440&lt;&gt;"UNREVIEWED",I440&lt;&gt;"NOT_DUE"),1,0)</x:f>
        <x:v>0</x:v>
      </x:c>
      <x:c r="AD440" t="n">
        <x:f>IF(AND(AC440=1,I440="FULL"),1,0)</x:f>
        <x:v>0</x:v>
      </x:c>
      <x:c r="AE440" t="n">
        <x:f>IF(AND(AC440=1,OR(I440="FULL",J440="FULL")),1,0)</x:f>
        <x:v>0</x:v>
      </x:c>
      <x:c r="AF440" s="21"/>
    </x:row>
    <x:row r="441">
      <x:c r="H441" s="21"/>
      <x:c r="K441" s="21"/>
      <x:c r="L441" s="21"/>
      <x:c r="Z441" t="str">
        <x:f>IF(A441="","",IF(M441="EXCLUDED","EXCLUDED",IF(M441&lt;&gt;"VERIFIED","UNREVIEWED",IF(OR(H441="",I441="UNASSESSABLE",J441="UNASSESSABLE"),"UNSCORABLE",IF(H441&gt;=L441,IF(J441="FULL","CORRECT","PENDING"),IF(I441="FULL","CORRECT",IF(J441="FULL","LATE",IF(OR(I441="PARTIAL",J441="PARTIAL"),"PARTIAL","WRONG / MISSED"))))))))</x:f>
      </x:c>
      <x:c r="AA441" t="str">
        <x:f>IF(OR(A441="",M441&lt;&gt;"VERIFIED",H441="",K441="",J441&lt;&gt;"FULL"),"",K441-H441)</x:f>
      </x:c>
      <x:c r="AB441" t="str">
        <x:f>IF(OR(A441="",M441&lt;&gt;"VERIFIED",H441="",H441&gt;=L441,J441="FULL",J441="UNASSESSABLE"),"",L441-H441)</x:f>
      </x:c>
      <x:c r="AC441" t="n">
        <x:f>IF(AND(A441&lt;&gt;"",M441="VERIFIED",N441="YES",H441&lt;&gt;"",H441&lt;L441,I441&lt;&gt;"UNASSESSABLE",I441&lt;&gt;"UNREVIEWED",I441&lt;&gt;"NOT_DUE"),1,0)</x:f>
        <x:v>0</x:v>
      </x:c>
      <x:c r="AD441" t="n">
        <x:f>IF(AND(AC441=1,I441="FULL"),1,0)</x:f>
        <x:v>0</x:v>
      </x:c>
      <x:c r="AE441" t="n">
        <x:f>IF(AND(AC441=1,OR(I441="FULL",J441="FULL")),1,0)</x:f>
        <x:v>0</x:v>
      </x:c>
      <x:c r="AF441" s="21"/>
    </x:row>
    <x:row r="442">
      <x:c r="H442" s="21"/>
      <x:c r="K442" s="21"/>
      <x:c r="L442" s="21"/>
      <x:c r="Z442" t="str">
        <x:f>IF(A442="","",IF(M442="EXCLUDED","EXCLUDED",IF(M442&lt;&gt;"VERIFIED","UNREVIEWED",IF(OR(H442="",I442="UNASSESSABLE",J442="UNASSESSABLE"),"UNSCORABLE",IF(H442&gt;=L442,IF(J442="FULL","CORRECT","PENDING"),IF(I442="FULL","CORRECT",IF(J442="FULL","LATE",IF(OR(I442="PARTIAL",J442="PARTIAL"),"PARTIAL","WRONG / MISSED"))))))))</x:f>
      </x:c>
      <x:c r="AA442" t="str">
        <x:f>IF(OR(A442="",M442&lt;&gt;"VERIFIED",H442="",K442="",J442&lt;&gt;"FULL"),"",K442-H442)</x:f>
      </x:c>
      <x:c r="AB442" t="str">
        <x:f>IF(OR(A442="",M442&lt;&gt;"VERIFIED",H442="",H442&gt;=L442,J442="FULL",J442="UNASSESSABLE"),"",L442-H442)</x:f>
      </x:c>
      <x:c r="AC442" t="n">
        <x:f>IF(AND(A442&lt;&gt;"",M442="VERIFIED",N442="YES",H442&lt;&gt;"",H442&lt;L442,I442&lt;&gt;"UNASSESSABLE",I442&lt;&gt;"UNREVIEWED",I442&lt;&gt;"NOT_DUE"),1,0)</x:f>
        <x:v>0</x:v>
      </x:c>
      <x:c r="AD442" t="n">
        <x:f>IF(AND(AC442=1,I442="FULL"),1,0)</x:f>
        <x:v>0</x:v>
      </x:c>
      <x:c r="AE442" t="n">
        <x:f>IF(AND(AC442=1,OR(I442="FULL",J442="FULL")),1,0)</x:f>
        <x:v>0</x:v>
      </x:c>
      <x:c r="AF442" s="21"/>
    </x:row>
    <x:row r="443">
      <x:c r="H443" s="21"/>
      <x:c r="K443" s="21"/>
      <x:c r="L443" s="21"/>
      <x:c r="Z443" t="str">
        <x:f>IF(A443="","",IF(M443="EXCLUDED","EXCLUDED",IF(M443&lt;&gt;"VERIFIED","UNREVIEWED",IF(OR(H443="",I443="UNASSESSABLE",J443="UNASSESSABLE"),"UNSCORABLE",IF(H443&gt;=L443,IF(J443="FULL","CORRECT","PENDING"),IF(I443="FULL","CORRECT",IF(J443="FULL","LATE",IF(OR(I443="PARTIAL",J443="PARTIAL"),"PARTIAL","WRONG / MISSED"))))))))</x:f>
      </x:c>
      <x:c r="AA443" t="str">
        <x:f>IF(OR(A443="",M443&lt;&gt;"VERIFIED",H443="",K443="",J443&lt;&gt;"FULL"),"",K443-H443)</x:f>
      </x:c>
      <x:c r="AB443" t="str">
        <x:f>IF(OR(A443="",M443&lt;&gt;"VERIFIED",H443="",H443&gt;=L443,J443="FULL",J443="UNASSESSABLE"),"",L443-H443)</x:f>
      </x:c>
      <x:c r="AC443" t="n">
        <x:f>IF(AND(A443&lt;&gt;"",M443="VERIFIED",N443="YES",H443&lt;&gt;"",H443&lt;L443,I443&lt;&gt;"UNASSESSABLE",I443&lt;&gt;"UNREVIEWED",I443&lt;&gt;"NOT_DUE"),1,0)</x:f>
        <x:v>0</x:v>
      </x:c>
      <x:c r="AD443" t="n">
        <x:f>IF(AND(AC443=1,I443="FULL"),1,0)</x:f>
        <x:v>0</x:v>
      </x:c>
      <x:c r="AE443" t="n">
        <x:f>IF(AND(AC443=1,OR(I443="FULL",J443="FULL")),1,0)</x:f>
        <x:v>0</x:v>
      </x:c>
      <x:c r="AF443" s="21"/>
    </x:row>
    <x:row r="444">
      <x:c r="H444" s="21"/>
      <x:c r="K444" s="21"/>
      <x:c r="L444" s="21"/>
      <x:c r="Z444" t="str">
        <x:f>IF(A444="","",IF(M444="EXCLUDED","EXCLUDED",IF(M444&lt;&gt;"VERIFIED","UNREVIEWED",IF(OR(H444="",I444="UNASSESSABLE",J444="UNASSESSABLE"),"UNSCORABLE",IF(H444&gt;=L444,IF(J444="FULL","CORRECT","PENDING"),IF(I444="FULL","CORRECT",IF(J444="FULL","LATE",IF(OR(I444="PARTIAL",J444="PARTIAL"),"PARTIAL","WRONG / MISSED"))))))))</x:f>
      </x:c>
      <x:c r="AA444" t="str">
        <x:f>IF(OR(A444="",M444&lt;&gt;"VERIFIED",H444="",K444="",J444&lt;&gt;"FULL"),"",K444-H444)</x:f>
      </x:c>
      <x:c r="AB444" t="str">
        <x:f>IF(OR(A444="",M444&lt;&gt;"VERIFIED",H444="",H444&gt;=L444,J444="FULL",J444="UNASSESSABLE"),"",L444-H444)</x:f>
      </x:c>
      <x:c r="AC444" t="n">
        <x:f>IF(AND(A444&lt;&gt;"",M444="VERIFIED",N444="YES",H444&lt;&gt;"",H444&lt;L444,I444&lt;&gt;"UNASSESSABLE",I444&lt;&gt;"UNREVIEWED",I444&lt;&gt;"NOT_DUE"),1,0)</x:f>
        <x:v>0</x:v>
      </x:c>
      <x:c r="AD444" t="n">
        <x:f>IF(AND(AC444=1,I444="FULL"),1,0)</x:f>
        <x:v>0</x:v>
      </x:c>
      <x:c r="AE444" t="n">
        <x:f>IF(AND(AC444=1,OR(I444="FULL",J444="FULL")),1,0)</x:f>
        <x:v>0</x:v>
      </x:c>
      <x:c r="AF444" s="21"/>
    </x:row>
    <x:row r="445">
      <x:c r="H445" s="21"/>
      <x:c r="K445" s="21"/>
      <x:c r="L445" s="21"/>
      <x:c r="Z445" t="str">
        <x:f>IF(A445="","",IF(M445="EXCLUDED","EXCLUDED",IF(M445&lt;&gt;"VERIFIED","UNREVIEWED",IF(OR(H445="",I445="UNASSESSABLE",J445="UNASSESSABLE"),"UNSCORABLE",IF(H445&gt;=L445,IF(J445="FULL","CORRECT","PENDING"),IF(I445="FULL","CORRECT",IF(J445="FULL","LATE",IF(OR(I445="PARTIAL",J445="PARTIAL"),"PARTIAL","WRONG / MISSED"))))))))</x:f>
      </x:c>
      <x:c r="AA445" t="str">
        <x:f>IF(OR(A445="",M445&lt;&gt;"VERIFIED",H445="",K445="",J445&lt;&gt;"FULL"),"",K445-H445)</x:f>
      </x:c>
      <x:c r="AB445" t="str">
        <x:f>IF(OR(A445="",M445&lt;&gt;"VERIFIED",H445="",H445&gt;=L445,J445="FULL",J445="UNASSESSABLE"),"",L445-H445)</x:f>
      </x:c>
      <x:c r="AC445" t="n">
        <x:f>IF(AND(A445&lt;&gt;"",M445="VERIFIED",N445="YES",H445&lt;&gt;"",H445&lt;L445,I445&lt;&gt;"UNASSESSABLE",I445&lt;&gt;"UNREVIEWED",I445&lt;&gt;"NOT_DUE"),1,0)</x:f>
        <x:v>0</x:v>
      </x:c>
      <x:c r="AD445" t="n">
        <x:f>IF(AND(AC445=1,I445="FULL"),1,0)</x:f>
        <x:v>0</x:v>
      </x:c>
      <x:c r="AE445" t="n">
        <x:f>IF(AND(AC445=1,OR(I445="FULL",J445="FULL")),1,0)</x:f>
        <x:v>0</x:v>
      </x:c>
      <x:c r="AF445" s="21"/>
    </x:row>
    <x:row r="446">
      <x:c r="H446" s="21"/>
      <x:c r="K446" s="21"/>
      <x:c r="L446" s="21"/>
      <x:c r="Z446" t="str">
        <x:f>IF(A446="","",IF(M446="EXCLUDED","EXCLUDED",IF(M446&lt;&gt;"VERIFIED","UNREVIEWED",IF(OR(H446="",I446="UNASSESSABLE",J446="UNASSESSABLE"),"UNSCORABLE",IF(H446&gt;=L446,IF(J446="FULL","CORRECT","PENDING"),IF(I446="FULL","CORRECT",IF(J446="FULL","LATE",IF(OR(I446="PARTIAL",J446="PARTIAL"),"PARTIAL","WRONG / MISSED"))))))))</x:f>
      </x:c>
      <x:c r="AA446" t="str">
        <x:f>IF(OR(A446="",M446&lt;&gt;"VERIFIED",H446="",K446="",J446&lt;&gt;"FULL"),"",K446-H446)</x:f>
      </x:c>
      <x:c r="AB446" t="str">
        <x:f>IF(OR(A446="",M446&lt;&gt;"VERIFIED",H446="",H446&gt;=L446,J446="FULL",J446="UNASSESSABLE"),"",L446-H446)</x:f>
      </x:c>
      <x:c r="AC446" t="n">
        <x:f>IF(AND(A446&lt;&gt;"",M446="VERIFIED",N446="YES",H446&lt;&gt;"",H446&lt;L446,I446&lt;&gt;"UNASSESSABLE",I446&lt;&gt;"UNREVIEWED",I446&lt;&gt;"NOT_DUE"),1,0)</x:f>
        <x:v>0</x:v>
      </x:c>
      <x:c r="AD446" t="n">
        <x:f>IF(AND(AC446=1,I446="FULL"),1,0)</x:f>
        <x:v>0</x:v>
      </x:c>
      <x:c r="AE446" t="n">
        <x:f>IF(AND(AC446=1,OR(I446="FULL",J446="FULL")),1,0)</x:f>
        <x:v>0</x:v>
      </x:c>
      <x:c r="AF446" s="21"/>
    </x:row>
    <x:row r="447">
      <x:c r="H447" s="21"/>
      <x:c r="K447" s="21"/>
      <x:c r="L447" s="21"/>
      <x:c r="Z447" t="str">
        <x:f>IF(A447="","",IF(M447="EXCLUDED","EXCLUDED",IF(M447&lt;&gt;"VERIFIED","UNREVIEWED",IF(OR(H447="",I447="UNASSESSABLE",J447="UNASSESSABLE"),"UNSCORABLE",IF(H447&gt;=L447,IF(J447="FULL","CORRECT","PENDING"),IF(I447="FULL","CORRECT",IF(J447="FULL","LATE",IF(OR(I447="PARTIAL",J447="PARTIAL"),"PARTIAL","WRONG / MISSED"))))))))</x:f>
      </x:c>
      <x:c r="AA447" t="str">
        <x:f>IF(OR(A447="",M447&lt;&gt;"VERIFIED",H447="",K447="",J447&lt;&gt;"FULL"),"",K447-H447)</x:f>
      </x:c>
      <x:c r="AB447" t="str">
        <x:f>IF(OR(A447="",M447&lt;&gt;"VERIFIED",H447="",H447&gt;=L447,J447="FULL",J447="UNASSESSABLE"),"",L447-H447)</x:f>
      </x:c>
      <x:c r="AC447" t="n">
        <x:f>IF(AND(A447&lt;&gt;"",M447="VERIFIED",N447="YES",H447&lt;&gt;"",H447&lt;L447,I447&lt;&gt;"UNASSESSABLE",I447&lt;&gt;"UNREVIEWED",I447&lt;&gt;"NOT_DUE"),1,0)</x:f>
        <x:v>0</x:v>
      </x:c>
      <x:c r="AD447" t="n">
        <x:f>IF(AND(AC447=1,I447="FULL"),1,0)</x:f>
        <x:v>0</x:v>
      </x:c>
      <x:c r="AE447" t="n">
        <x:f>IF(AND(AC447=1,OR(I447="FULL",J447="FULL")),1,0)</x:f>
        <x:v>0</x:v>
      </x:c>
      <x:c r="AF447" s="21"/>
    </x:row>
    <x:row r="448">
      <x:c r="H448" s="21"/>
      <x:c r="K448" s="21"/>
      <x:c r="L448" s="21"/>
      <x:c r="Z448" t="str">
        <x:f>IF(A448="","",IF(M448="EXCLUDED","EXCLUDED",IF(M448&lt;&gt;"VERIFIED","UNREVIEWED",IF(OR(H448="",I448="UNASSESSABLE",J448="UNASSESSABLE"),"UNSCORABLE",IF(H448&gt;=L448,IF(J448="FULL","CORRECT","PENDING"),IF(I448="FULL","CORRECT",IF(J448="FULL","LATE",IF(OR(I448="PARTIAL",J448="PARTIAL"),"PARTIAL","WRONG / MISSED"))))))))</x:f>
      </x:c>
      <x:c r="AA448" t="str">
        <x:f>IF(OR(A448="",M448&lt;&gt;"VERIFIED",H448="",K448="",J448&lt;&gt;"FULL"),"",K448-H448)</x:f>
      </x:c>
      <x:c r="AB448" t="str">
        <x:f>IF(OR(A448="",M448&lt;&gt;"VERIFIED",H448="",H448&gt;=L448,J448="FULL",J448="UNASSESSABLE"),"",L448-H448)</x:f>
      </x:c>
      <x:c r="AC448" t="n">
        <x:f>IF(AND(A448&lt;&gt;"",M448="VERIFIED",N448="YES",H448&lt;&gt;"",H448&lt;L448,I448&lt;&gt;"UNASSESSABLE",I448&lt;&gt;"UNREVIEWED",I448&lt;&gt;"NOT_DUE"),1,0)</x:f>
        <x:v>0</x:v>
      </x:c>
      <x:c r="AD448" t="n">
        <x:f>IF(AND(AC448=1,I448="FULL"),1,0)</x:f>
        <x:v>0</x:v>
      </x:c>
      <x:c r="AE448" t="n">
        <x:f>IF(AND(AC448=1,OR(I448="FULL",J448="FULL")),1,0)</x:f>
        <x:v>0</x:v>
      </x:c>
      <x:c r="AF448" s="21"/>
    </x:row>
    <x:row r="449">
      <x:c r="H449" s="21"/>
      <x:c r="K449" s="21"/>
      <x:c r="L449" s="21"/>
      <x:c r="Z449" t="str">
        <x:f>IF(A449="","",IF(M449="EXCLUDED","EXCLUDED",IF(M449&lt;&gt;"VERIFIED","UNREVIEWED",IF(OR(H449="",I449="UNASSESSABLE",J449="UNASSESSABLE"),"UNSCORABLE",IF(H449&gt;=L449,IF(J449="FULL","CORRECT","PENDING"),IF(I449="FULL","CORRECT",IF(J449="FULL","LATE",IF(OR(I449="PARTIAL",J449="PARTIAL"),"PARTIAL","WRONG / MISSED"))))))))</x:f>
      </x:c>
      <x:c r="AA449" t="str">
        <x:f>IF(OR(A449="",M449&lt;&gt;"VERIFIED",H449="",K449="",J449&lt;&gt;"FULL"),"",K449-H449)</x:f>
      </x:c>
      <x:c r="AB449" t="str">
        <x:f>IF(OR(A449="",M449&lt;&gt;"VERIFIED",H449="",H449&gt;=L449,J449="FULL",J449="UNASSESSABLE"),"",L449-H449)</x:f>
      </x:c>
      <x:c r="AC449" t="n">
        <x:f>IF(AND(A449&lt;&gt;"",M449="VERIFIED",N449="YES",H449&lt;&gt;"",H449&lt;L449,I449&lt;&gt;"UNASSESSABLE",I449&lt;&gt;"UNREVIEWED",I449&lt;&gt;"NOT_DUE"),1,0)</x:f>
        <x:v>0</x:v>
      </x:c>
      <x:c r="AD449" t="n">
        <x:f>IF(AND(AC449=1,I449="FULL"),1,0)</x:f>
        <x:v>0</x:v>
      </x:c>
      <x:c r="AE449" t="n">
        <x:f>IF(AND(AC449=1,OR(I449="FULL",J449="FULL")),1,0)</x:f>
        <x:v>0</x:v>
      </x:c>
      <x:c r="AF449" s="21"/>
    </x:row>
    <x:row r="450">
      <x:c r="H450" s="21"/>
      <x:c r="K450" s="21"/>
      <x:c r="L450" s="21"/>
      <x:c r="Z450" t="str">
        <x:f>IF(A450="","",IF(M450="EXCLUDED","EXCLUDED",IF(M450&lt;&gt;"VERIFIED","UNREVIEWED",IF(OR(H450="",I450="UNASSESSABLE",J450="UNASSESSABLE"),"UNSCORABLE",IF(H450&gt;=L450,IF(J450="FULL","CORRECT","PENDING"),IF(I450="FULL","CORRECT",IF(J450="FULL","LATE",IF(OR(I450="PARTIAL",J450="PARTIAL"),"PARTIAL","WRONG / MISSED"))))))))</x:f>
      </x:c>
      <x:c r="AA450" t="str">
        <x:f>IF(OR(A450="",M450&lt;&gt;"VERIFIED",H450="",K450="",J450&lt;&gt;"FULL"),"",K450-H450)</x:f>
      </x:c>
      <x:c r="AB450" t="str">
        <x:f>IF(OR(A450="",M450&lt;&gt;"VERIFIED",H450="",H450&gt;=L450,J450="FULL",J450="UNASSESSABLE"),"",L450-H450)</x:f>
      </x:c>
      <x:c r="AC450" t="n">
        <x:f>IF(AND(A450&lt;&gt;"",M450="VERIFIED",N450="YES",H450&lt;&gt;"",H450&lt;L450,I450&lt;&gt;"UNASSESSABLE",I450&lt;&gt;"UNREVIEWED",I450&lt;&gt;"NOT_DUE"),1,0)</x:f>
        <x:v>0</x:v>
      </x:c>
      <x:c r="AD450" t="n">
        <x:f>IF(AND(AC450=1,I450="FULL"),1,0)</x:f>
        <x:v>0</x:v>
      </x:c>
      <x:c r="AE450" t="n">
        <x:f>IF(AND(AC450=1,OR(I450="FULL",J450="FULL")),1,0)</x:f>
        <x:v>0</x:v>
      </x:c>
      <x:c r="AF450" s="21"/>
    </x:row>
    <x:row r="451">
      <x:c r="H451" s="21"/>
      <x:c r="K451" s="21"/>
      <x:c r="L451" s="21"/>
      <x:c r="Z451" t="str">
        <x:f>IF(A451="","",IF(M451="EXCLUDED","EXCLUDED",IF(M451&lt;&gt;"VERIFIED","UNREVIEWED",IF(OR(H451="",I451="UNASSESSABLE",J451="UNASSESSABLE"),"UNSCORABLE",IF(H451&gt;=L451,IF(J451="FULL","CORRECT","PENDING"),IF(I451="FULL","CORRECT",IF(J451="FULL","LATE",IF(OR(I451="PARTIAL",J451="PARTIAL"),"PARTIAL","WRONG / MISSED"))))))))</x:f>
      </x:c>
      <x:c r="AA451" t="str">
        <x:f>IF(OR(A451="",M451&lt;&gt;"VERIFIED",H451="",K451="",J451&lt;&gt;"FULL"),"",K451-H451)</x:f>
      </x:c>
      <x:c r="AB451" t="str">
        <x:f>IF(OR(A451="",M451&lt;&gt;"VERIFIED",H451="",H451&gt;=L451,J451="FULL",J451="UNASSESSABLE"),"",L451-H451)</x:f>
      </x:c>
      <x:c r="AC451" t="n">
        <x:f>IF(AND(A451&lt;&gt;"",M451="VERIFIED",N451="YES",H451&lt;&gt;"",H451&lt;L451,I451&lt;&gt;"UNASSESSABLE",I451&lt;&gt;"UNREVIEWED",I451&lt;&gt;"NOT_DUE"),1,0)</x:f>
        <x:v>0</x:v>
      </x:c>
      <x:c r="AD451" t="n">
        <x:f>IF(AND(AC451=1,I451="FULL"),1,0)</x:f>
        <x:v>0</x:v>
      </x:c>
      <x:c r="AE451" t="n">
        <x:f>IF(AND(AC451=1,OR(I451="FULL",J451="FULL")),1,0)</x:f>
        <x:v>0</x:v>
      </x:c>
      <x:c r="AF451" s="21"/>
    </x:row>
    <x:row r="452">
      <x:c r="H452" s="21"/>
      <x:c r="K452" s="21"/>
      <x:c r="L452" s="21"/>
      <x:c r="Z452" t="str">
        <x:f>IF(A452="","",IF(M452="EXCLUDED","EXCLUDED",IF(M452&lt;&gt;"VERIFIED","UNREVIEWED",IF(OR(H452="",I452="UNASSESSABLE",J452="UNASSESSABLE"),"UNSCORABLE",IF(H452&gt;=L452,IF(J452="FULL","CORRECT","PENDING"),IF(I452="FULL","CORRECT",IF(J452="FULL","LATE",IF(OR(I452="PARTIAL",J452="PARTIAL"),"PARTIAL","WRONG / MISSED"))))))))</x:f>
      </x:c>
      <x:c r="AA452" t="str">
        <x:f>IF(OR(A452="",M452&lt;&gt;"VERIFIED",H452="",K452="",J452&lt;&gt;"FULL"),"",K452-H452)</x:f>
      </x:c>
      <x:c r="AB452" t="str">
        <x:f>IF(OR(A452="",M452&lt;&gt;"VERIFIED",H452="",H452&gt;=L452,J452="FULL",J452="UNASSESSABLE"),"",L452-H452)</x:f>
      </x:c>
      <x:c r="AC452" t="n">
        <x:f>IF(AND(A452&lt;&gt;"",M452="VERIFIED",N452="YES",H452&lt;&gt;"",H452&lt;L452,I452&lt;&gt;"UNASSESSABLE",I452&lt;&gt;"UNREVIEWED",I452&lt;&gt;"NOT_DUE"),1,0)</x:f>
        <x:v>0</x:v>
      </x:c>
      <x:c r="AD452" t="n">
        <x:f>IF(AND(AC452=1,I452="FULL"),1,0)</x:f>
        <x:v>0</x:v>
      </x:c>
      <x:c r="AE452" t="n">
        <x:f>IF(AND(AC452=1,OR(I452="FULL",J452="FULL")),1,0)</x:f>
        <x:v>0</x:v>
      </x:c>
      <x:c r="AF452" s="21"/>
    </x:row>
    <x:row r="453">
      <x:c r="H453" s="21"/>
      <x:c r="K453" s="21"/>
      <x:c r="L453" s="21"/>
      <x:c r="Z453" t="str">
        <x:f>IF(A453="","",IF(M453="EXCLUDED","EXCLUDED",IF(M453&lt;&gt;"VERIFIED","UNREVIEWED",IF(OR(H453="",I453="UNASSESSABLE",J453="UNASSESSABLE"),"UNSCORABLE",IF(H453&gt;=L453,IF(J453="FULL","CORRECT","PENDING"),IF(I453="FULL","CORRECT",IF(J453="FULL","LATE",IF(OR(I453="PARTIAL",J453="PARTIAL"),"PARTIAL","WRONG / MISSED"))))))))</x:f>
      </x:c>
      <x:c r="AA453" t="str">
        <x:f>IF(OR(A453="",M453&lt;&gt;"VERIFIED",H453="",K453="",J453&lt;&gt;"FULL"),"",K453-H453)</x:f>
      </x:c>
      <x:c r="AB453" t="str">
        <x:f>IF(OR(A453="",M453&lt;&gt;"VERIFIED",H453="",H453&gt;=L453,J453="FULL",J453="UNASSESSABLE"),"",L453-H453)</x:f>
      </x:c>
      <x:c r="AC453" t="n">
        <x:f>IF(AND(A453&lt;&gt;"",M453="VERIFIED",N453="YES",H453&lt;&gt;"",H453&lt;L453,I453&lt;&gt;"UNASSESSABLE",I453&lt;&gt;"UNREVIEWED",I453&lt;&gt;"NOT_DUE"),1,0)</x:f>
        <x:v>0</x:v>
      </x:c>
      <x:c r="AD453" t="n">
        <x:f>IF(AND(AC453=1,I453="FULL"),1,0)</x:f>
        <x:v>0</x:v>
      </x:c>
      <x:c r="AE453" t="n">
        <x:f>IF(AND(AC453=1,OR(I453="FULL",J453="FULL")),1,0)</x:f>
        <x:v>0</x:v>
      </x:c>
      <x:c r="AF453" s="21"/>
    </x:row>
    <x:row r="454">
      <x:c r="H454" s="21"/>
      <x:c r="K454" s="21"/>
      <x:c r="L454" s="21"/>
      <x:c r="Z454" t="str">
        <x:f>IF(A454="","",IF(M454="EXCLUDED","EXCLUDED",IF(M454&lt;&gt;"VERIFIED","UNREVIEWED",IF(OR(H454="",I454="UNASSESSABLE",J454="UNASSESSABLE"),"UNSCORABLE",IF(H454&gt;=L454,IF(J454="FULL","CORRECT","PENDING"),IF(I454="FULL","CORRECT",IF(J454="FULL","LATE",IF(OR(I454="PARTIAL",J454="PARTIAL"),"PARTIAL","WRONG / MISSED"))))))))</x:f>
      </x:c>
      <x:c r="AA454" t="str">
        <x:f>IF(OR(A454="",M454&lt;&gt;"VERIFIED",H454="",K454="",J454&lt;&gt;"FULL"),"",K454-H454)</x:f>
      </x:c>
      <x:c r="AB454" t="str">
        <x:f>IF(OR(A454="",M454&lt;&gt;"VERIFIED",H454="",H454&gt;=L454,J454="FULL",J454="UNASSESSABLE"),"",L454-H454)</x:f>
      </x:c>
      <x:c r="AC454" t="n">
        <x:f>IF(AND(A454&lt;&gt;"",M454="VERIFIED",N454="YES",H454&lt;&gt;"",H454&lt;L454,I454&lt;&gt;"UNASSESSABLE",I454&lt;&gt;"UNREVIEWED",I454&lt;&gt;"NOT_DUE"),1,0)</x:f>
        <x:v>0</x:v>
      </x:c>
      <x:c r="AD454" t="n">
        <x:f>IF(AND(AC454=1,I454="FULL"),1,0)</x:f>
        <x:v>0</x:v>
      </x:c>
      <x:c r="AE454" t="n">
        <x:f>IF(AND(AC454=1,OR(I454="FULL",J454="FULL")),1,0)</x:f>
        <x:v>0</x:v>
      </x:c>
      <x:c r="AF454" s="21"/>
    </x:row>
    <x:row r="455">
      <x:c r="H455" s="21"/>
      <x:c r="K455" s="21"/>
      <x:c r="L455" s="21"/>
      <x:c r="Z455" t="str">
        <x:f>IF(A455="","",IF(M455="EXCLUDED","EXCLUDED",IF(M455&lt;&gt;"VERIFIED","UNREVIEWED",IF(OR(H455="",I455="UNASSESSABLE",J455="UNASSESSABLE"),"UNSCORABLE",IF(H455&gt;=L455,IF(J455="FULL","CORRECT","PENDING"),IF(I455="FULL","CORRECT",IF(J455="FULL","LATE",IF(OR(I455="PARTIAL",J455="PARTIAL"),"PARTIAL","WRONG / MISSED"))))))))</x:f>
      </x:c>
      <x:c r="AA455" t="str">
        <x:f>IF(OR(A455="",M455&lt;&gt;"VERIFIED",H455="",K455="",J455&lt;&gt;"FULL"),"",K455-H455)</x:f>
      </x:c>
      <x:c r="AB455" t="str">
        <x:f>IF(OR(A455="",M455&lt;&gt;"VERIFIED",H455="",H455&gt;=L455,J455="FULL",J455="UNASSESSABLE"),"",L455-H455)</x:f>
      </x:c>
      <x:c r="AC455" t="n">
        <x:f>IF(AND(A455&lt;&gt;"",M455="VERIFIED",N455="YES",H455&lt;&gt;"",H455&lt;L455,I455&lt;&gt;"UNASSESSABLE",I455&lt;&gt;"UNREVIEWED",I455&lt;&gt;"NOT_DUE"),1,0)</x:f>
        <x:v>0</x:v>
      </x:c>
      <x:c r="AD455" t="n">
        <x:f>IF(AND(AC455=1,I455="FULL"),1,0)</x:f>
        <x:v>0</x:v>
      </x:c>
      <x:c r="AE455" t="n">
        <x:f>IF(AND(AC455=1,OR(I455="FULL",J455="FULL")),1,0)</x:f>
        <x:v>0</x:v>
      </x:c>
      <x:c r="AF455" s="21"/>
    </x:row>
    <x:row r="456">
      <x:c r="H456" s="21"/>
      <x:c r="K456" s="21"/>
      <x:c r="L456" s="21"/>
      <x:c r="Z456" t="str">
        <x:f>IF(A456="","",IF(M456="EXCLUDED","EXCLUDED",IF(M456&lt;&gt;"VERIFIED","UNREVIEWED",IF(OR(H456="",I456="UNASSESSABLE",J456="UNASSESSABLE"),"UNSCORABLE",IF(H456&gt;=L456,IF(J456="FULL","CORRECT","PENDING"),IF(I456="FULL","CORRECT",IF(J456="FULL","LATE",IF(OR(I456="PARTIAL",J456="PARTIAL"),"PARTIAL","WRONG / MISSED"))))))))</x:f>
      </x:c>
      <x:c r="AA456" t="str">
        <x:f>IF(OR(A456="",M456&lt;&gt;"VERIFIED",H456="",K456="",J456&lt;&gt;"FULL"),"",K456-H456)</x:f>
      </x:c>
      <x:c r="AB456" t="str">
        <x:f>IF(OR(A456="",M456&lt;&gt;"VERIFIED",H456="",H456&gt;=L456,J456="FULL",J456="UNASSESSABLE"),"",L456-H456)</x:f>
      </x:c>
      <x:c r="AC456" t="n">
        <x:f>IF(AND(A456&lt;&gt;"",M456="VERIFIED",N456="YES",H456&lt;&gt;"",H456&lt;L456,I456&lt;&gt;"UNASSESSABLE",I456&lt;&gt;"UNREVIEWED",I456&lt;&gt;"NOT_DUE"),1,0)</x:f>
        <x:v>0</x:v>
      </x:c>
      <x:c r="AD456" t="n">
        <x:f>IF(AND(AC456=1,I456="FULL"),1,0)</x:f>
        <x:v>0</x:v>
      </x:c>
      <x:c r="AE456" t="n">
        <x:f>IF(AND(AC456=1,OR(I456="FULL",J456="FULL")),1,0)</x:f>
        <x:v>0</x:v>
      </x:c>
      <x:c r="AF456" s="21"/>
    </x:row>
    <x:row r="457">
      <x:c r="H457" s="21"/>
      <x:c r="K457" s="21"/>
      <x:c r="L457" s="21"/>
      <x:c r="Z457" t="str">
        <x:f>IF(A457="","",IF(M457="EXCLUDED","EXCLUDED",IF(M457&lt;&gt;"VERIFIED","UNREVIEWED",IF(OR(H457="",I457="UNASSESSABLE",J457="UNASSESSABLE"),"UNSCORABLE",IF(H457&gt;=L457,IF(J457="FULL","CORRECT","PENDING"),IF(I457="FULL","CORRECT",IF(J457="FULL","LATE",IF(OR(I457="PARTIAL",J457="PARTIAL"),"PARTIAL","WRONG / MISSED"))))))))</x:f>
      </x:c>
      <x:c r="AA457" t="str">
        <x:f>IF(OR(A457="",M457&lt;&gt;"VERIFIED",H457="",K457="",J457&lt;&gt;"FULL"),"",K457-H457)</x:f>
      </x:c>
      <x:c r="AB457" t="str">
        <x:f>IF(OR(A457="",M457&lt;&gt;"VERIFIED",H457="",H457&gt;=L457,J457="FULL",J457="UNASSESSABLE"),"",L457-H457)</x:f>
      </x:c>
      <x:c r="AC457" t="n">
        <x:f>IF(AND(A457&lt;&gt;"",M457="VERIFIED",N457="YES",H457&lt;&gt;"",H457&lt;L457,I457&lt;&gt;"UNASSESSABLE",I457&lt;&gt;"UNREVIEWED",I457&lt;&gt;"NOT_DUE"),1,0)</x:f>
        <x:v>0</x:v>
      </x:c>
      <x:c r="AD457" t="n">
        <x:f>IF(AND(AC457=1,I457="FULL"),1,0)</x:f>
        <x:v>0</x:v>
      </x:c>
      <x:c r="AE457" t="n">
        <x:f>IF(AND(AC457=1,OR(I457="FULL",J457="FULL")),1,0)</x:f>
        <x:v>0</x:v>
      </x:c>
      <x:c r="AF457" s="21"/>
    </x:row>
    <x:row r="458">
      <x:c r="H458" s="21"/>
      <x:c r="K458" s="21"/>
      <x:c r="L458" s="21"/>
      <x:c r="Z458" t="str">
        <x:f>IF(A458="","",IF(M458="EXCLUDED","EXCLUDED",IF(M458&lt;&gt;"VERIFIED","UNREVIEWED",IF(OR(H458="",I458="UNASSESSABLE",J458="UNASSESSABLE"),"UNSCORABLE",IF(H458&gt;=L458,IF(J458="FULL","CORRECT","PENDING"),IF(I458="FULL","CORRECT",IF(J458="FULL","LATE",IF(OR(I458="PARTIAL",J458="PARTIAL"),"PARTIAL","WRONG / MISSED"))))))))</x:f>
      </x:c>
      <x:c r="AA458" t="str">
        <x:f>IF(OR(A458="",M458&lt;&gt;"VERIFIED",H458="",K458="",J458&lt;&gt;"FULL"),"",K458-H458)</x:f>
      </x:c>
      <x:c r="AB458" t="str">
        <x:f>IF(OR(A458="",M458&lt;&gt;"VERIFIED",H458="",H458&gt;=L458,J458="FULL",J458="UNASSESSABLE"),"",L458-H458)</x:f>
      </x:c>
      <x:c r="AC458" t="n">
        <x:f>IF(AND(A458&lt;&gt;"",M458="VERIFIED",N458="YES",H458&lt;&gt;"",H458&lt;L458,I458&lt;&gt;"UNASSESSABLE",I458&lt;&gt;"UNREVIEWED",I458&lt;&gt;"NOT_DUE"),1,0)</x:f>
        <x:v>0</x:v>
      </x:c>
      <x:c r="AD458" t="n">
        <x:f>IF(AND(AC458=1,I458="FULL"),1,0)</x:f>
        <x:v>0</x:v>
      </x:c>
      <x:c r="AE458" t="n">
        <x:f>IF(AND(AC458=1,OR(I458="FULL",J458="FULL")),1,0)</x:f>
        <x:v>0</x:v>
      </x:c>
      <x:c r="AF458" s="21"/>
    </x:row>
    <x:row r="459">
      <x:c r="H459" s="21"/>
      <x:c r="K459" s="21"/>
      <x:c r="L459" s="21"/>
      <x:c r="Z459" t="str">
        <x:f>IF(A459="","",IF(M459="EXCLUDED","EXCLUDED",IF(M459&lt;&gt;"VERIFIED","UNREVIEWED",IF(OR(H459="",I459="UNASSESSABLE",J459="UNASSESSABLE"),"UNSCORABLE",IF(H459&gt;=L459,IF(J459="FULL","CORRECT","PENDING"),IF(I459="FULL","CORRECT",IF(J459="FULL","LATE",IF(OR(I459="PARTIAL",J459="PARTIAL"),"PARTIAL","WRONG / MISSED"))))))))</x:f>
      </x:c>
      <x:c r="AA459" t="str">
        <x:f>IF(OR(A459="",M459&lt;&gt;"VERIFIED",H459="",K459="",J459&lt;&gt;"FULL"),"",K459-H459)</x:f>
      </x:c>
      <x:c r="AB459" t="str">
        <x:f>IF(OR(A459="",M459&lt;&gt;"VERIFIED",H459="",H459&gt;=L459,J459="FULL",J459="UNASSESSABLE"),"",L459-H459)</x:f>
      </x:c>
      <x:c r="AC459" t="n">
        <x:f>IF(AND(A459&lt;&gt;"",M459="VERIFIED",N459="YES",H459&lt;&gt;"",H459&lt;L459,I459&lt;&gt;"UNASSESSABLE",I459&lt;&gt;"UNREVIEWED",I459&lt;&gt;"NOT_DUE"),1,0)</x:f>
        <x:v>0</x:v>
      </x:c>
      <x:c r="AD459" t="n">
        <x:f>IF(AND(AC459=1,I459="FULL"),1,0)</x:f>
        <x:v>0</x:v>
      </x:c>
      <x:c r="AE459" t="n">
        <x:f>IF(AND(AC459=1,OR(I459="FULL",J459="FULL")),1,0)</x:f>
        <x:v>0</x:v>
      </x:c>
      <x:c r="AF459" s="21"/>
    </x:row>
    <x:row r="460">
      <x:c r="H460" s="21"/>
      <x:c r="K460" s="21"/>
      <x:c r="L460" s="21"/>
      <x:c r="Z460" t="str">
        <x:f>IF(A460="","",IF(M460="EXCLUDED","EXCLUDED",IF(M460&lt;&gt;"VERIFIED","UNREVIEWED",IF(OR(H460="",I460="UNASSESSABLE",J460="UNASSESSABLE"),"UNSCORABLE",IF(H460&gt;=L460,IF(J460="FULL","CORRECT","PENDING"),IF(I460="FULL","CORRECT",IF(J460="FULL","LATE",IF(OR(I460="PARTIAL",J460="PARTIAL"),"PARTIAL","WRONG / MISSED"))))))))</x:f>
      </x:c>
      <x:c r="AA460" t="str">
        <x:f>IF(OR(A460="",M460&lt;&gt;"VERIFIED",H460="",K460="",J460&lt;&gt;"FULL"),"",K460-H460)</x:f>
      </x:c>
      <x:c r="AB460" t="str">
        <x:f>IF(OR(A460="",M460&lt;&gt;"VERIFIED",H460="",H460&gt;=L460,J460="FULL",J460="UNASSESSABLE"),"",L460-H460)</x:f>
      </x:c>
      <x:c r="AC460" t="n">
        <x:f>IF(AND(A460&lt;&gt;"",M460="VERIFIED",N460="YES",H460&lt;&gt;"",H460&lt;L460,I460&lt;&gt;"UNASSESSABLE",I460&lt;&gt;"UNREVIEWED",I460&lt;&gt;"NOT_DUE"),1,0)</x:f>
        <x:v>0</x:v>
      </x:c>
      <x:c r="AD460" t="n">
        <x:f>IF(AND(AC460=1,I460="FULL"),1,0)</x:f>
        <x:v>0</x:v>
      </x:c>
      <x:c r="AE460" t="n">
        <x:f>IF(AND(AC460=1,OR(I460="FULL",J460="FULL")),1,0)</x:f>
        <x:v>0</x:v>
      </x:c>
      <x:c r="AF460" s="21"/>
    </x:row>
    <x:row r="461">
      <x:c r="H461" s="21"/>
      <x:c r="K461" s="21"/>
      <x:c r="L461" s="21"/>
      <x:c r="Z461" t="str">
        <x:f>IF(A461="","",IF(M461="EXCLUDED","EXCLUDED",IF(M461&lt;&gt;"VERIFIED","UNREVIEWED",IF(OR(H461="",I461="UNASSESSABLE",J461="UNASSESSABLE"),"UNSCORABLE",IF(H461&gt;=L461,IF(J461="FULL","CORRECT","PENDING"),IF(I461="FULL","CORRECT",IF(J461="FULL","LATE",IF(OR(I461="PARTIAL",J461="PARTIAL"),"PARTIAL","WRONG / MISSED"))))))))</x:f>
      </x:c>
      <x:c r="AA461" t="str">
        <x:f>IF(OR(A461="",M461&lt;&gt;"VERIFIED",H461="",K461="",J461&lt;&gt;"FULL"),"",K461-H461)</x:f>
      </x:c>
      <x:c r="AB461" t="str">
        <x:f>IF(OR(A461="",M461&lt;&gt;"VERIFIED",H461="",H461&gt;=L461,J461="FULL",J461="UNASSESSABLE"),"",L461-H461)</x:f>
      </x:c>
      <x:c r="AC461" t="n">
        <x:f>IF(AND(A461&lt;&gt;"",M461="VERIFIED",N461="YES",H461&lt;&gt;"",H461&lt;L461,I461&lt;&gt;"UNASSESSABLE",I461&lt;&gt;"UNREVIEWED",I461&lt;&gt;"NOT_DUE"),1,0)</x:f>
        <x:v>0</x:v>
      </x:c>
      <x:c r="AD461" t="n">
        <x:f>IF(AND(AC461=1,I461="FULL"),1,0)</x:f>
        <x:v>0</x:v>
      </x:c>
      <x:c r="AE461" t="n">
        <x:f>IF(AND(AC461=1,OR(I461="FULL",J461="FULL")),1,0)</x:f>
        <x:v>0</x:v>
      </x:c>
      <x:c r="AF461" s="21"/>
    </x:row>
    <x:row r="462">
      <x:c r="H462" s="21"/>
      <x:c r="K462" s="21"/>
      <x:c r="L462" s="21"/>
      <x:c r="Z462" t="str">
        <x:f>IF(A462="","",IF(M462="EXCLUDED","EXCLUDED",IF(M462&lt;&gt;"VERIFIED","UNREVIEWED",IF(OR(H462="",I462="UNASSESSABLE",J462="UNASSESSABLE"),"UNSCORABLE",IF(H462&gt;=L462,IF(J462="FULL","CORRECT","PENDING"),IF(I462="FULL","CORRECT",IF(J462="FULL","LATE",IF(OR(I462="PARTIAL",J462="PARTIAL"),"PARTIAL","WRONG / MISSED"))))))))</x:f>
      </x:c>
      <x:c r="AA462" t="str">
        <x:f>IF(OR(A462="",M462&lt;&gt;"VERIFIED",H462="",K462="",J462&lt;&gt;"FULL"),"",K462-H462)</x:f>
      </x:c>
      <x:c r="AB462" t="str">
        <x:f>IF(OR(A462="",M462&lt;&gt;"VERIFIED",H462="",H462&gt;=L462,J462="FULL",J462="UNASSESSABLE"),"",L462-H462)</x:f>
      </x:c>
      <x:c r="AC462" t="n">
        <x:f>IF(AND(A462&lt;&gt;"",M462="VERIFIED",N462="YES",H462&lt;&gt;"",H462&lt;L462,I462&lt;&gt;"UNASSESSABLE",I462&lt;&gt;"UNREVIEWED",I462&lt;&gt;"NOT_DUE"),1,0)</x:f>
        <x:v>0</x:v>
      </x:c>
      <x:c r="AD462" t="n">
        <x:f>IF(AND(AC462=1,I462="FULL"),1,0)</x:f>
        <x:v>0</x:v>
      </x:c>
      <x:c r="AE462" t="n">
        <x:f>IF(AND(AC462=1,OR(I462="FULL",J462="FULL")),1,0)</x:f>
        <x:v>0</x:v>
      </x:c>
      <x:c r="AF462" s="21"/>
    </x:row>
    <x:row r="463">
      <x:c r="H463" s="21"/>
      <x:c r="K463" s="21"/>
      <x:c r="L463" s="21"/>
      <x:c r="Z463" t="str">
        <x:f>IF(A463="","",IF(M463="EXCLUDED","EXCLUDED",IF(M463&lt;&gt;"VERIFIED","UNREVIEWED",IF(OR(H463="",I463="UNASSESSABLE",J463="UNASSESSABLE"),"UNSCORABLE",IF(H463&gt;=L463,IF(J463="FULL","CORRECT","PENDING"),IF(I463="FULL","CORRECT",IF(J463="FULL","LATE",IF(OR(I463="PARTIAL",J463="PARTIAL"),"PARTIAL","WRONG / MISSED"))))))))</x:f>
      </x:c>
      <x:c r="AA463" t="str">
        <x:f>IF(OR(A463="",M463&lt;&gt;"VERIFIED",H463="",K463="",J463&lt;&gt;"FULL"),"",K463-H463)</x:f>
      </x:c>
      <x:c r="AB463" t="str">
        <x:f>IF(OR(A463="",M463&lt;&gt;"VERIFIED",H463="",H463&gt;=L463,J463="FULL",J463="UNASSESSABLE"),"",L463-H463)</x:f>
      </x:c>
      <x:c r="AC463" t="n">
        <x:f>IF(AND(A463&lt;&gt;"",M463="VERIFIED",N463="YES",H463&lt;&gt;"",H463&lt;L463,I463&lt;&gt;"UNASSESSABLE",I463&lt;&gt;"UNREVIEWED",I463&lt;&gt;"NOT_DUE"),1,0)</x:f>
        <x:v>0</x:v>
      </x:c>
      <x:c r="AD463" t="n">
        <x:f>IF(AND(AC463=1,I463="FULL"),1,0)</x:f>
        <x:v>0</x:v>
      </x:c>
      <x:c r="AE463" t="n">
        <x:f>IF(AND(AC463=1,OR(I463="FULL",J463="FULL")),1,0)</x:f>
        <x:v>0</x:v>
      </x:c>
      <x:c r="AF463" s="21"/>
    </x:row>
    <x:row r="464">
      <x:c r="H464" s="21"/>
      <x:c r="K464" s="21"/>
      <x:c r="L464" s="21"/>
      <x:c r="Z464" t="str">
        <x:f>IF(A464="","",IF(M464="EXCLUDED","EXCLUDED",IF(M464&lt;&gt;"VERIFIED","UNREVIEWED",IF(OR(H464="",I464="UNASSESSABLE",J464="UNASSESSABLE"),"UNSCORABLE",IF(H464&gt;=L464,IF(J464="FULL","CORRECT","PENDING"),IF(I464="FULL","CORRECT",IF(J464="FULL","LATE",IF(OR(I464="PARTIAL",J464="PARTIAL"),"PARTIAL","WRONG / MISSED"))))))))</x:f>
      </x:c>
      <x:c r="AA464" t="str">
        <x:f>IF(OR(A464="",M464&lt;&gt;"VERIFIED",H464="",K464="",J464&lt;&gt;"FULL"),"",K464-H464)</x:f>
      </x:c>
      <x:c r="AB464" t="str">
        <x:f>IF(OR(A464="",M464&lt;&gt;"VERIFIED",H464="",H464&gt;=L464,J464="FULL",J464="UNASSESSABLE"),"",L464-H464)</x:f>
      </x:c>
      <x:c r="AC464" t="n">
        <x:f>IF(AND(A464&lt;&gt;"",M464="VERIFIED",N464="YES",H464&lt;&gt;"",H464&lt;L464,I464&lt;&gt;"UNASSESSABLE",I464&lt;&gt;"UNREVIEWED",I464&lt;&gt;"NOT_DUE"),1,0)</x:f>
        <x:v>0</x:v>
      </x:c>
      <x:c r="AD464" t="n">
        <x:f>IF(AND(AC464=1,I464="FULL"),1,0)</x:f>
        <x:v>0</x:v>
      </x:c>
      <x:c r="AE464" t="n">
        <x:f>IF(AND(AC464=1,OR(I464="FULL",J464="FULL")),1,0)</x:f>
        <x:v>0</x:v>
      </x:c>
      <x:c r="AF464" s="21"/>
    </x:row>
    <x:row r="465">
      <x:c r="H465" s="21"/>
      <x:c r="K465" s="21"/>
      <x:c r="L465" s="21"/>
      <x:c r="Z465" t="str">
        <x:f>IF(A465="","",IF(M465="EXCLUDED","EXCLUDED",IF(M465&lt;&gt;"VERIFIED","UNREVIEWED",IF(OR(H465="",I465="UNASSESSABLE",J465="UNASSESSABLE"),"UNSCORABLE",IF(H465&gt;=L465,IF(J465="FULL","CORRECT","PENDING"),IF(I465="FULL","CORRECT",IF(J465="FULL","LATE",IF(OR(I465="PARTIAL",J465="PARTIAL"),"PARTIAL","WRONG / MISSED"))))))))</x:f>
      </x:c>
      <x:c r="AA465" t="str">
        <x:f>IF(OR(A465="",M465&lt;&gt;"VERIFIED",H465="",K465="",J465&lt;&gt;"FULL"),"",K465-H465)</x:f>
      </x:c>
      <x:c r="AB465" t="str">
        <x:f>IF(OR(A465="",M465&lt;&gt;"VERIFIED",H465="",H465&gt;=L465,J465="FULL",J465="UNASSESSABLE"),"",L465-H465)</x:f>
      </x:c>
      <x:c r="AC465" t="n">
        <x:f>IF(AND(A465&lt;&gt;"",M465="VERIFIED",N465="YES",H465&lt;&gt;"",H465&lt;L465,I465&lt;&gt;"UNASSESSABLE",I465&lt;&gt;"UNREVIEWED",I465&lt;&gt;"NOT_DUE"),1,0)</x:f>
        <x:v>0</x:v>
      </x:c>
      <x:c r="AD465" t="n">
        <x:f>IF(AND(AC465=1,I465="FULL"),1,0)</x:f>
        <x:v>0</x:v>
      </x:c>
      <x:c r="AE465" t="n">
        <x:f>IF(AND(AC465=1,OR(I465="FULL",J465="FULL")),1,0)</x:f>
        <x:v>0</x:v>
      </x:c>
      <x:c r="AF465" s="21"/>
    </x:row>
    <x:row r="466">
      <x:c r="H466" s="21"/>
      <x:c r="K466" s="21"/>
      <x:c r="L466" s="21"/>
      <x:c r="Z466" t="str">
        <x:f>IF(A466="","",IF(M466="EXCLUDED","EXCLUDED",IF(M466&lt;&gt;"VERIFIED","UNREVIEWED",IF(OR(H466="",I466="UNASSESSABLE",J466="UNASSESSABLE"),"UNSCORABLE",IF(H466&gt;=L466,IF(J466="FULL","CORRECT","PENDING"),IF(I466="FULL","CORRECT",IF(J466="FULL","LATE",IF(OR(I466="PARTIAL",J466="PARTIAL"),"PARTIAL","WRONG / MISSED"))))))))</x:f>
      </x:c>
      <x:c r="AA466" t="str">
        <x:f>IF(OR(A466="",M466&lt;&gt;"VERIFIED",H466="",K466="",J466&lt;&gt;"FULL"),"",K466-H466)</x:f>
      </x:c>
      <x:c r="AB466" t="str">
        <x:f>IF(OR(A466="",M466&lt;&gt;"VERIFIED",H466="",H466&gt;=L466,J466="FULL",J466="UNASSESSABLE"),"",L466-H466)</x:f>
      </x:c>
      <x:c r="AC466" t="n">
        <x:f>IF(AND(A466&lt;&gt;"",M466="VERIFIED",N466="YES",H466&lt;&gt;"",H466&lt;L466,I466&lt;&gt;"UNASSESSABLE",I466&lt;&gt;"UNREVIEWED",I466&lt;&gt;"NOT_DUE"),1,0)</x:f>
        <x:v>0</x:v>
      </x:c>
      <x:c r="AD466" t="n">
        <x:f>IF(AND(AC466=1,I466="FULL"),1,0)</x:f>
        <x:v>0</x:v>
      </x:c>
      <x:c r="AE466" t="n">
        <x:f>IF(AND(AC466=1,OR(I466="FULL",J466="FULL")),1,0)</x:f>
        <x:v>0</x:v>
      </x:c>
      <x:c r="AF466" s="21"/>
    </x:row>
    <x:row r="467">
      <x:c r="H467" s="21"/>
      <x:c r="K467" s="21"/>
      <x:c r="L467" s="21"/>
      <x:c r="Z467" t="str">
        <x:f>IF(A467="","",IF(M467="EXCLUDED","EXCLUDED",IF(M467&lt;&gt;"VERIFIED","UNREVIEWED",IF(OR(H467="",I467="UNASSESSABLE",J467="UNASSESSABLE"),"UNSCORABLE",IF(H467&gt;=L467,IF(J467="FULL","CORRECT","PENDING"),IF(I467="FULL","CORRECT",IF(J467="FULL","LATE",IF(OR(I467="PARTIAL",J467="PARTIAL"),"PARTIAL","WRONG / MISSED"))))))))</x:f>
      </x:c>
      <x:c r="AA467" t="str">
        <x:f>IF(OR(A467="",M467&lt;&gt;"VERIFIED",H467="",K467="",J467&lt;&gt;"FULL"),"",K467-H467)</x:f>
      </x:c>
      <x:c r="AB467" t="str">
        <x:f>IF(OR(A467="",M467&lt;&gt;"VERIFIED",H467="",H467&gt;=L467,J467="FULL",J467="UNASSESSABLE"),"",L467-H467)</x:f>
      </x:c>
      <x:c r="AC467" t="n">
        <x:f>IF(AND(A467&lt;&gt;"",M467="VERIFIED",N467="YES",H467&lt;&gt;"",H467&lt;L467,I467&lt;&gt;"UNASSESSABLE",I467&lt;&gt;"UNREVIEWED",I467&lt;&gt;"NOT_DUE"),1,0)</x:f>
        <x:v>0</x:v>
      </x:c>
      <x:c r="AD467" t="n">
        <x:f>IF(AND(AC467=1,I467="FULL"),1,0)</x:f>
        <x:v>0</x:v>
      </x:c>
      <x:c r="AE467" t="n">
        <x:f>IF(AND(AC467=1,OR(I467="FULL",J467="FULL")),1,0)</x:f>
        <x:v>0</x:v>
      </x:c>
      <x:c r="AF467" s="21"/>
    </x:row>
    <x:row r="468">
      <x:c r="H468" s="21"/>
      <x:c r="K468" s="21"/>
      <x:c r="L468" s="21"/>
      <x:c r="Z468" t="str">
        <x:f>IF(A468="","",IF(M468="EXCLUDED","EXCLUDED",IF(M468&lt;&gt;"VERIFIED","UNREVIEWED",IF(OR(H468="",I468="UNASSESSABLE",J468="UNASSESSABLE"),"UNSCORABLE",IF(H468&gt;=L468,IF(J468="FULL","CORRECT","PENDING"),IF(I468="FULL","CORRECT",IF(J468="FULL","LATE",IF(OR(I468="PARTIAL",J468="PARTIAL"),"PARTIAL","WRONG / MISSED"))))))))</x:f>
      </x:c>
      <x:c r="AA468" t="str">
        <x:f>IF(OR(A468="",M468&lt;&gt;"VERIFIED",H468="",K468="",J468&lt;&gt;"FULL"),"",K468-H468)</x:f>
      </x:c>
      <x:c r="AB468" t="str">
        <x:f>IF(OR(A468="",M468&lt;&gt;"VERIFIED",H468="",H468&gt;=L468,J468="FULL",J468="UNASSESSABLE"),"",L468-H468)</x:f>
      </x:c>
      <x:c r="AC468" t="n">
        <x:f>IF(AND(A468&lt;&gt;"",M468="VERIFIED",N468="YES",H468&lt;&gt;"",H468&lt;L468,I468&lt;&gt;"UNASSESSABLE",I468&lt;&gt;"UNREVIEWED",I468&lt;&gt;"NOT_DUE"),1,0)</x:f>
        <x:v>0</x:v>
      </x:c>
      <x:c r="AD468" t="n">
        <x:f>IF(AND(AC468=1,I468="FULL"),1,0)</x:f>
        <x:v>0</x:v>
      </x:c>
      <x:c r="AE468" t="n">
        <x:f>IF(AND(AC468=1,OR(I468="FULL",J468="FULL")),1,0)</x:f>
        <x:v>0</x:v>
      </x:c>
      <x:c r="AF468" s="21"/>
    </x:row>
    <x:row r="469">
      <x:c r="H469" s="21"/>
      <x:c r="K469" s="21"/>
      <x:c r="L469" s="21"/>
      <x:c r="Z469" t="str">
        <x:f>IF(A469="","",IF(M469="EXCLUDED","EXCLUDED",IF(M469&lt;&gt;"VERIFIED","UNREVIEWED",IF(OR(H469="",I469="UNASSESSABLE",J469="UNASSESSABLE"),"UNSCORABLE",IF(H469&gt;=L469,IF(J469="FULL","CORRECT","PENDING"),IF(I469="FULL","CORRECT",IF(J469="FULL","LATE",IF(OR(I469="PARTIAL",J469="PARTIAL"),"PARTIAL","WRONG / MISSED"))))))))</x:f>
      </x:c>
      <x:c r="AA469" t="str">
        <x:f>IF(OR(A469="",M469&lt;&gt;"VERIFIED",H469="",K469="",J469&lt;&gt;"FULL"),"",K469-H469)</x:f>
      </x:c>
      <x:c r="AB469" t="str">
        <x:f>IF(OR(A469="",M469&lt;&gt;"VERIFIED",H469="",H469&gt;=L469,J469="FULL",J469="UNASSESSABLE"),"",L469-H469)</x:f>
      </x:c>
      <x:c r="AC469" t="n">
        <x:f>IF(AND(A469&lt;&gt;"",M469="VERIFIED",N469="YES",H469&lt;&gt;"",H469&lt;L469,I469&lt;&gt;"UNASSESSABLE",I469&lt;&gt;"UNREVIEWED",I469&lt;&gt;"NOT_DUE"),1,0)</x:f>
        <x:v>0</x:v>
      </x:c>
      <x:c r="AD469" t="n">
        <x:f>IF(AND(AC469=1,I469="FULL"),1,0)</x:f>
        <x:v>0</x:v>
      </x:c>
      <x:c r="AE469" t="n">
        <x:f>IF(AND(AC469=1,OR(I469="FULL",J469="FULL")),1,0)</x:f>
        <x:v>0</x:v>
      </x:c>
      <x:c r="AF469" s="21"/>
    </x:row>
    <x:row r="470">
      <x:c r="H470" s="21"/>
      <x:c r="K470" s="21"/>
      <x:c r="L470" s="21"/>
      <x:c r="Z470" t="str">
        <x:f>IF(A470="","",IF(M470="EXCLUDED","EXCLUDED",IF(M470&lt;&gt;"VERIFIED","UNREVIEWED",IF(OR(H470="",I470="UNASSESSABLE",J470="UNASSESSABLE"),"UNSCORABLE",IF(H470&gt;=L470,IF(J470="FULL","CORRECT","PENDING"),IF(I470="FULL","CORRECT",IF(J470="FULL","LATE",IF(OR(I470="PARTIAL",J470="PARTIAL"),"PARTIAL","WRONG / MISSED"))))))))</x:f>
      </x:c>
      <x:c r="AA470" t="str">
        <x:f>IF(OR(A470="",M470&lt;&gt;"VERIFIED",H470="",K470="",J470&lt;&gt;"FULL"),"",K470-H470)</x:f>
      </x:c>
      <x:c r="AB470" t="str">
        <x:f>IF(OR(A470="",M470&lt;&gt;"VERIFIED",H470="",H470&gt;=L470,J470="FULL",J470="UNASSESSABLE"),"",L470-H470)</x:f>
      </x:c>
      <x:c r="AC470" t="n">
        <x:f>IF(AND(A470&lt;&gt;"",M470="VERIFIED",N470="YES",H470&lt;&gt;"",H470&lt;L470,I470&lt;&gt;"UNASSESSABLE",I470&lt;&gt;"UNREVIEWED",I470&lt;&gt;"NOT_DUE"),1,0)</x:f>
        <x:v>0</x:v>
      </x:c>
      <x:c r="AD470" t="n">
        <x:f>IF(AND(AC470=1,I470="FULL"),1,0)</x:f>
        <x:v>0</x:v>
      </x:c>
      <x:c r="AE470" t="n">
        <x:f>IF(AND(AC470=1,OR(I470="FULL",J470="FULL")),1,0)</x:f>
        <x:v>0</x:v>
      </x:c>
      <x:c r="AF470" s="21"/>
    </x:row>
    <x:row r="471">
      <x:c r="H471" s="21"/>
      <x:c r="K471" s="21"/>
      <x:c r="L471" s="21"/>
      <x:c r="Z471" t="str">
        <x:f>IF(A471="","",IF(M471="EXCLUDED","EXCLUDED",IF(M471&lt;&gt;"VERIFIED","UNREVIEWED",IF(OR(H471="",I471="UNASSESSABLE",J471="UNASSESSABLE"),"UNSCORABLE",IF(H471&gt;=L471,IF(J471="FULL","CORRECT","PENDING"),IF(I471="FULL","CORRECT",IF(J471="FULL","LATE",IF(OR(I471="PARTIAL",J471="PARTIAL"),"PARTIAL","WRONG / MISSED"))))))))</x:f>
      </x:c>
      <x:c r="AA471" t="str">
        <x:f>IF(OR(A471="",M471&lt;&gt;"VERIFIED",H471="",K471="",J471&lt;&gt;"FULL"),"",K471-H471)</x:f>
      </x:c>
      <x:c r="AB471" t="str">
        <x:f>IF(OR(A471="",M471&lt;&gt;"VERIFIED",H471="",H471&gt;=L471,J471="FULL",J471="UNASSESSABLE"),"",L471-H471)</x:f>
      </x:c>
      <x:c r="AC471" t="n">
        <x:f>IF(AND(A471&lt;&gt;"",M471="VERIFIED",N471="YES",H471&lt;&gt;"",H471&lt;L471,I471&lt;&gt;"UNASSESSABLE",I471&lt;&gt;"UNREVIEWED",I471&lt;&gt;"NOT_DUE"),1,0)</x:f>
        <x:v>0</x:v>
      </x:c>
      <x:c r="AD471" t="n">
        <x:f>IF(AND(AC471=1,I471="FULL"),1,0)</x:f>
        <x:v>0</x:v>
      </x:c>
      <x:c r="AE471" t="n">
        <x:f>IF(AND(AC471=1,OR(I471="FULL",J471="FULL")),1,0)</x:f>
        <x:v>0</x:v>
      </x:c>
      <x:c r="AF471" s="21"/>
    </x:row>
    <x:row r="472">
      <x:c r="H472" s="21"/>
      <x:c r="K472" s="21"/>
      <x:c r="L472" s="21"/>
      <x:c r="Z472" t="str">
        <x:f>IF(A472="","",IF(M472="EXCLUDED","EXCLUDED",IF(M472&lt;&gt;"VERIFIED","UNREVIEWED",IF(OR(H472="",I472="UNASSESSABLE",J472="UNASSESSABLE"),"UNSCORABLE",IF(H472&gt;=L472,IF(J472="FULL","CORRECT","PENDING"),IF(I472="FULL","CORRECT",IF(J472="FULL","LATE",IF(OR(I472="PARTIAL",J472="PARTIAL"),"PARTIAL","WRONG / MISSED"))))))))</x:f>
      </x:c>
      <x:c r="AA472" t="str">
        <x:f>IF(OR(A472="",M472&lt;&gt;"VERIFIED",H472="",K472="",J472&lt;&gt;"FULL"),"",K472-H472)</x:f>
      </x:c>
      <x:c r="AB472" t="str">
        <x:f>IF(OR(A472="",M472&lt;&gt;"VERIFIED",H472="",H472&gt;=L472,J472="FULL",J472="UNASSESSABLE"),"",L472-H472)</x:f>
      </x:c>
      <x:c r="AC472" t="n">
        <x:f>IF(AND(A472&lt;&gt;"",M472="VERIFIED",N472="YES",H472&lt;&gt;"",H472&lt;L472,I472&lt;&gt;"UNASSESSABLE",I472&lt;&gt;"UNREVIEWED",I472&lt;&gt;"NOT_DUE"),1,0)</x:f>
        <x:v>0</x:v>
      </x:c>
      <x:c r="AD472" t="n">
        <x:f>IF(AND(AC472=1,I472="FULL"),1,0)</x:f>
        <x:v>0</x:v>
      </x:c>
      <x:c r="AE472" t="n">
        <x:f>IF(AND(AC472=1,OR(I472="FULL",J472="FULL")),1,0)</x:f>
        <x:v>0</x:v>
      </x:c>
      <x:c r="AF472" s="21"/>
    </x:row>
    <x:row r="473">
      <x:c r="H473" s="21"/>
      <x:c r="K473" s="21"/>
      <x:c r="L473" s="21"/>
      <x:c r="Z473" t="str">
        <x:f>IF(A473="","",IF(M473="EXCLUDED","EXCLUDED",IF(M473&lt;&gt;"VERIFIED","UNREVIEWED",IF(OR(H473="",I473="UNASSESSABLE",J473="UNASSESSABLE"),"UNSCORABLE",IF(H473&gt;=L473,IF(J473="FULL","CORRECT","PENDING"),IF(I473="FULL","CORRECT",IF(J473="FULL","LATE",IF(OR(I473="PARTIAL",J473="PARTIAL"),"PARTIAL","WRONG / MISSED"))))))))</x:f>
      </x:c>
      <x:c r="AA473" t="str">
        <x:f>IF(OR(A473="",M473&lt;&gt;"VERIFIED",H473="",K473="",J473&lt;&gt;"FULL"),"",K473-H473)</x:f>
      </x:c>
      <x:c r="AB473" t="str">
        <x:f>IF(OR(A473="",M473&lt;&gt;"VERIFIED",H473="",H473&gt;=L473,J473="FULL",J473="UNASSESSABLE"),"",L473-H473)</x:f>
      </x:c>
      <x:c r="AC473" t="n">
        <x:f>IF(AND(A473&lt;&gt;"",M473="VERIFIED",N473="YES",H473&lt;&gt;"",H473&lt;L473,I473&lt;&gt;"UNASSESSABLE",I473&lt;&gt;"UNREVIEWED",I473&lt;&gt;"NOT_DUE"),1,0)</x:f>
        <x:v>0</x:v>
      </x:c>
      <x:c r="AD473" t="n">
        <x:f>IF(AND(AC473=1,I473="FULL"),1,0)</x:f>
        <x:v>0</x:v>
      </x:c>
      <x:c r="AE473" t="n">
        <x:f>IF(AND(AC473=1,OR(I473="FULL",J473="FULL")),1,0)</x:f>
        <x:v>0</x:v>
      </x:c>
      <x:c r="AF473" s="21"/>
    </x:row>
    <x:row r="474">
      <x:c r="H474" s="21"/>
      <x:c r="K474" s="21"/>
      <x:c r="L474" s="21"/>
      <x:c r="Z474" t="str">
        <x:f>IF(A474="","",IF(M474="EXCLUDED","EXCLUDED",IF(M474&lt;&gt;"VERIFIED","UNREVIEWED",IF(OR(H474="",I474="UNASSESSABLE",J474="UNASSESSABLE"),"UNSCORABLE",IF(H474&gt;=L474,IF(J474="FULL","CORRECT","PENDING"),IF(I474="FULL","CORRECT",IF(J474="FULL","LATE",IF(OR(I474="PARTIAL",J474="PARTIAL"),"PARTIAL","WRONG / MISSED"))))))))</x:f>
      </x:c>
      <x:c r="AA474" t="str">
        <x:f>IF(OR(A474="",M474&lt;&gt;"VERIFIED",H474="",K474="",J474&lt;&gt;"FULL"),"",K474-H474)</x:f>
      </x:c>
      <x:c r="AB474" t="str">
        <x:f>IF(OR(A474="",M474&lt;&gt;"VERIFIED",H474="",H474&gt;=L474,J474="FULL",J474="UNASSESSABLE"),"",L474-H474)</x:f>
      </x:c>
      <x:c r="AC474" t="n">
        <x:f>IF(AND(A474&lt;&gt;"",M474="VERIFIED",N474="YES",H474&lt;&gt;"",H474&lt;L474,I474&lt;&gt;"UNASSESSABLE",I474&lt;&gt;"UNREVIEWED",I474&lt;&gt;"NOT_DUE"),1,0)</x:f>
        <x:v>0</x:v>
      </x:c>
      <x:c r="AD474" t="n">
        <x:f>IF(AND(AC474=1,I474="FULL"),1,0)</x:f>
        <x:v>0</x:v>
      </x:c>
      <x:c r="AE474" t="n">
        <x:f>IF(AND(AC474=1,OR(I474="FULL",J474="FULL")),1,0)</x:f>
        <x:v>0</x:v>
      </x:c>
      <x:c r="AF474" s="21"/>
    </x:row>
    <x:row r="475">
      <x:c r="H475" s="21"/>
      <x:c r="K475" s="21"/>
      <x:c r="L475" s="21"/>
      <x:c r="Z475" t="str">
        <x:f>IF(A475="","",IF(M475="EXCLUDED","EXCLUDED",IF(M475&lt;&gt;"VERIFIED","UNREVIEWED",IF(OR(H475="",I475="UNASSESSABLE",J475="UNASSESSABLE"),"UNSCORABLE",IF(H475&gt;=L475,IF(J475="FULL","CORRECT","PENDING"),IF(I475="FULL","CORRECT",IF(J475="FULL","LATE",IF(OR(I475="PARTIAL",J475="PARTIAL"),"PARTIAL","WRONG / MISSED"))))))))</x:f>
      </x:c>
      <x:c r="AA475" t="str">
        <x:f>IF(OR(A475="",M475&lt;&gt;"VERIFIED",H475="",K475="",J475&lt;&gt;"FULL"),"",K475-H475)</x:f>
      </x:c>
      <x:c r="AB475" t="str">
        <x:f>IF(OR(A475="",M475&lt;&gt;"VERIFIED",H475="",H475&gt;=L475,J475="FULL",J475="UNASSESSABLE"),"",L475-H475)</x:f>
      </x:c>
      <x:c r="AC475" t="n">
        <x:f>IF(AND(A475&lt;&gt;"",M475="VERIFIED",N475="YES",H475&lt;&gt;"",H475&lt;L475,I475&lt;&gt;"UNASSESSABLE",I475&lt;&gt;"UNREVIEWED",I475&lt;&gt;"NOT_DUE"),1,0)</x:f>
        <x:v>0</x:v>
      </x:c>
      <x:c r="AD475" t="n">
        <x:f>IF(AND(AC475=1,I475="FULL"),1,0)</x:f>
        <x:v>0</x:v>
      </x:c>
      <x:c r="AE475" t="n">
        <x:f>IF(AND(AC475=1,OR(I475="FULL",J475="FULL")),1,0)</x:f>
        <x:v>0</x:v>
      </x:c>
      <x:c r="AF475" s="21"/>
    </x:row>
    <x:row r="476">
      <x:c r="H476" s="21"/>
      <x:c r="K476" s="21"/>
      <x:c r="L476" s="21"/>
      <x:c r="Z476" t="str">
        <x:f>IF(A476="","",IF(M476="EXCLUDED","EXCLUDED",IF(M476&lt;&gt;"VERIFIED","UNREVIEWED",IF(OR(H476="",I476="UNASSESSABLE",J476="UNASSESSABLE"),"UNSCORABLE",IF(H476&gt;=L476,IF(J476="FULL","CORRECT","PENDING"),IF(I476="FULL","CORRECT",IF(J476="FULL","LATE",IF(OR(I476="PARTIAL",J476="PARTIAL"),"PARTIAL","WRONG / MISSED"))))))))</x:f>
      </x:c>
      <x:c r="AA476" t="str">
        <x:f>IF(OR(A476="",M476&lt;&gt;"VERIFIED",H476="",K476="",J476&lt;&gt;"FULL"),"",K476-H476)</x:f>
      </x:c>
      <x:c r="AB476" t="str">
        <x:f>IF(OR(A476="",M476&lt;&gt;"VERIFIED",H476="",H476&gt;=L476,J476="FULL",J476="UNASSESSABLE"),"",L476-H476)</x:f>
      </x:c>
      <x:c r="AC476" t="n">
        <x:f>IF(AND(A476&lt;&gt;"",M476="VERIFIED",N476="YES",H476&lt;&gt;"",H476&lt;L476,I476&lt;&gt;"UNASSESSABLE",I476&lt;&gt;"UNREVIEWED",I476&lt;&gt;"NOT_DUE"),1,0)</x:f>
        <x:v>0</x:v>
      </x:c>
      <x:c r="AD476" t="n">
        <x:f>IF(AND(AC476=1,I476="FULL"),1,0)</x:f>
        <x:v>0</x:v>
      </x:c>
      <x:c r="AE476" t="n">
        <x:f>IF(AND(AC476=1,OR(I476="FULL",J476="FULL")),1,0)</x:f>
        <x:v>0</x:v>
      </x:c>
      <x:c r="AF476" s="21"/>
    </x:row>
    <x:row r="477">
      <x:c r="H477" s="21"/>
      <x:c r="K477" s="21"/>
      <x:c r="L477" s="21"/>
      <x:c r="Z477" t="str">
        <x:f>IF(A477="","",IF(M477="EXCLUDED","EXCLUDED",IF(M477&lt;&gt;"VERIFIED","UNREVIEWED",IF(OR(H477="",I477="UNASSESSABLE",J477="UNASSESSABLE"),"UNSCORABLE",IF(H477&gt;=L477,IF(J477="FULL","CORRECT","PENDING"),IF(I477="FULL","CORRECT",IF(J477="FULL","LATE",IF(OR(I477="PARTIAL",J477="PARTIAL"),"PARTIAL","WRONG / MISSED"))))))))</x:f>
      </x:c>
      <x:c r="AA477" t="str">
        <x:f>IF(OR(A477="",M477&lt;&gt;"VERIFIED",H477="",K477="",J477&lt;&gt;"FULL"),"",K477-H477)</x:f>
      </x:c>
      <x:c r="AB477" t="str">
        <x:f>IF(OR(A477="",M477&lt;&gt;"VERIFIED",H477="",H477&gt;=L477,J477="FULL",J477="UNASSESSABLE"),"",L477-H477)</x:f>
      </x:c>
      <x:c r="AC477" t="n">
        <x:f>IF(AND(A477&lt;&gt;"",M477="VERIFIED",N477="YES",H477&lt;&gt;"",H477&lt;L477,I477&lt;&gt;"UNASSESSABLE",I477&lt;&gt;"UNREVIEWED",I477&lt;&gt;"NOT_DUE"),1,0)</x:f>
        <x:v>0</x:v>
      </x:c>
      <x:c r="AD477" t="n">
        <x:f>IF(AND(AC477=1,I477="FULL"),1,0)</x:f>
        <x:v>0</x:v>
      </x:c>
      <x:c r="AE477" t="n">
        <x:f>IF(AND(AC477=1,OR(I477="FULL",J477="FULL")),1,0)</x:f>
        <x:v>0</x:v>
      </x:c>
      <x:c r="AF477" s="21"/>
    </x:row>
    <x:row r="478">
      <x:c r="H478" s="21"/>
      <x:c r="K478" s="21"/>
      <x:c r="L478" s="21"/>
      <x:c r="Z478" t="str">
        <x:f>IF(A478="","",IF(M478="EXCLUDED","EXCLUDED",IF(M478&lt;&gt;"VERIFIED","UNREVIEWED",IF(OR(H478="",I478="UNASSESSABLE",J478="UNASSESSABLE"),"UNSCORABLE",IF(H478&gt;=L478,IF(J478="FULL","CORRECT","PENDING"),IF(I478="FULL","CORRECT",IF(J478="FULL","LATE",IF(OR(I478="PARTIAL",J478="PARTIAL"),"PARTIAL","WRONG / MISSED"))))))))</x:f>
      </x:c>
      <x:c r="AA478" t="str">
        <x:f>IF(OR(A478="",M478&lt;&gt;"VERIFIED",H478="",K478="",J478&lt;&gt;"FULL"),"",K478-H478)</x:f>
      </x:c>
      <x:c r="AB478" t="str">
        <x:f>IF(OR(A478="",M478&lt;&gt;"VERIFIED",H478="",H478&gt;=L478,J478="FULL",J478="UNASSESSABLE"),"",L478-H478)</x:f>
      </x:c>
      <x:c r="AC478" t="n">
        <x:f>IF(AND(A478&lt;&gt;"",M478="VERIFIED",N478="YES",H478&lt;&gt;"",H478&lt;L478,I478&lt;&gt;"UNASSESSABLE",I478&lt;&gt;"UNREVIEWED",I478&lt;&gt;"NOT_DUE"),1,0)</x:f>
        <x:v>0</x:v>
      </x:c>
      <x:c r="AD478" t="n">
        <x:f>IF(AND(AC478=1,I478="FULL"),1,0)</x:f>
        <x:v>0</x:v>
      </x:c>
      <x:c r="AE478" t="n">
        <x:f>IF(AND(AC478=1,OR(I478="FULL",J478="FULL")),1,0)</x:f>
        <x:v>0</x:v>
      </x:c>
      <x:c r="AF478" s="21"/>
    </x:row>
    <x:row r="479">
      <x:c r="H479" s="21"/>
      <x:c r="K479" s="21"/>
      <x:c r="L479" s="21"/>
      <x:c r="Z479" t="str">
        <x:f>IF(A479="","",IF(M479="EXCLUDED","EXCLUDED",IF(M479&lt;&gt;"VERIFIED","UNREVIEWED",IF(OR(H479="",I479="UNASSESSABLE",J479="UNASSESSABLE"),"UNSCORABLE",IF(H479&gt;=L479,IF(J479="FULL","CORRECT","PENDING"),IF(I479="FULL","CORRECT",IF(J479="FULL","LATE",IF(OR(I479="PARTIAL",J479="PARTIAL"),"PARTIAL","WRONG / MISSED"))))))))</x:f>
      </x:c>
      <x:c r="AA479" t="str">
        <x:f>IF(OR(A479="",M479&lt;&gt;"VERIFIED",H479="",K479="",J479&lt;&gt;"FULL"),"",K479-H479)</x:f>
      </x:c>
      <x:c r="AB479" t="str">
        <x:f>IF(OR(A479="",M479&lt;&gt;"VERIFIED",H479="",H479&gt;=L479,J479="FULL",J479="UNASSESSABLE"),"",L479-H479)</x:f>
      </x:c>
      <x:c r="AC479" t="n">
        <x:f>IF(AND(A479&lt;&gt;"",M479="VERIFIED",N479="YES",H479&lt;&gt;"",H479&lt;L479,I479&lt;&gt;"UNASSESSABLE",I479&lt;&gt;"UNREVIEWED",I479&lt;&gt;"NOT_DUE"),1,0)</x:f>
        <x:v>0</x:v>
      </x:c>
      <x:c r="AD479" t="n">
        <x:f>IF(AND(AC479=1,I479="FULL"),1,0)</x:f>
        <x:v>0</x:v>
      </x:c>
      <x:c r="AE479" t="n">
        <x:f>IF(AND(AC479=1,OR(I479="FULL",J479="FULL")),1,0)</x:f>
        <x:v>0</x:v>
      </x:c>
      <x:c r="AF479" s="21"/>
    </x:row>
    <x:row r="480">
      <x:c r="H480" s="21"/>
      <x:c r="K480" s="21"/>
      <x:c r="L480" s="21"/>
      <x:c r="Z480" t="str">
        <x:f>IF(A480="","",IF(M480="EXCLUDED","EXCLUDED",IF(M480&lt;&gt;"VERIFIED","UNREVIEWED",IF(OR(H480="",I480="UNASSESSABLE",J480="UNASSESSABLE"),"UNSCORABLE",IF(H480&gt;=L480,IF(J480="FULL","CORRECT","PENDING"),IF(I480="FULL","CORRECT",IF(J480="FULL","LATE",IF(OR(I480="PARTIAL",J480="PARTIAL"),"PARTIAL","WRONG / MISSED"))))))))</x:f>
      </x:c>
      <x:c r="AA480" t="str">
        <x:f>IF(OR(A480="",M480&lt;&gt;"VERIFIED",H480="",K480="",J480&lt;&gt;"FULL"),"",K480-H480)</x:f>
      </x:c>
      <x:c r="AB480" t="str">
        <x:f>IF(OR(A480="",M480&lt;&gt;"VERIFIED",H480="",H480&gt;=L480,J480="FULL",J480="UNASSESSABLE"),"",L480-H480)</x:f>
      </x:c>
      <x:c r="AC480" t="n">
        <x:f>IF(AND(A480&lt;&gt;"",M480="VERIFIED",N480="YES",H480&lt;&gt;"",H480&lt;L480,I480&lt;&gt;"UNASSESSABLE",I480&lt;&gt;"UNREVIEWED",I480&lt;&gt;"NOT_DUE"),1,0)</x:f>
        <x:v>0</x:v>
      </x:c>
      <x:c r="AD480" t="n">
        <x:f>IF(AND(AC480=1,I480="FULL"),1,0)</x:f>
        <x:v>0</x:v>
      </x:c>
      <x:c r="AE480" t="n">
        <x:f>IF(AND(AC480=1,OR(I480="FULL",J480="FULL")),1,0)</x:f>
        <x:v>0</x:v>
      </x:c>
      <x:c r="AF480" s="21"/>
    </x:row>
    <x:row r="481">
      <x:c r="H481" s="21"/>
      <x:c r="K481" s="21"/>
      <x:c r="L481" s="21"/>
      <x:c r="Z481" t="str">
        <x:f>IF(A481="","",IF(M481="EXCLUDED","EXCLUDED",IF(M481&lt;&gt;"VERIFIED","UNREVIEWED",IF(OR(H481="",I481="UNASSESSABLE",J481="UNASSESSABLE"),"UNSCORABLE",IF(H481&gt;=L481,IF(J481="FULL","CORRECT","PENDING"),IF(I481="FULL","CORRECT",IF(J481="FULL","LATE",IF(OR(I481="PARTIAL",J481="PARTIAL"),"PARTIAL","WRONG / MISSED"))))))))</x:f>
      </x:c>
      <x:c r="AA481" t="str">
        <x:f>IF(OR(A481="",M481&lt;&gt;"VERIFIED",H481="",K481="",J481&lt;&gt;"FULL"),"",K481-H481)</x:f>
      </x:c>
      <x:c r="AB481" t="str">
        <x:f>IF(OR(A481="",M481&lt;&gt;"VERIFIED",H481="",H481&gt;=L481,J481="FULL",J481="UNASSESSABLE"),"",L481-H481)</x:f>
      </x:c>
      <x:c r="AC481" t="n">
        <x:f>IF(AND(A481&lt;&gt;"",M481="VERIFIED",N481="YES",H481&lt;&gt;"",H481&lt;L481,I481&lt;&gt;"UNASSESSABLE",I481&lt;&gt;"UNREVIEWED",I481&lt;&gt;"NOT_DUE"),1,0)</x:f>
        <x:v>0</x:v>
      </x:c>
      <x:c r="AD481" t="n">
        <x:f>IF(AND(AC481=1,I481="FULL"),1,0)</x:f>
        <x:v>0</x:v>
      </x:c>
      <x:c r="AE481" t="n">
        <x:f>IF(AND(AC481=1,OR(I481="FULL",J481="FULL")),1,0)</x:f>
        <x:v>0</x:v>
      </x:c>
      <x:c r="AF481" s="21"/>
    </x:row>
    <x:row r="482">
      <x:c r="H482" s="21"/>
      <x:c r="K482" s="21"/>
      <x:c r="L482" s="21"/>
      <x:c r="Z482" t="str">
        <x:f>IF(A482="","",IF(M482="EXCLUDED","EXCLUDED",IF(M482&lt;&gt;"VERIFIED","UNREVIEWED",IF(OR(H482="",I482="UNASSESSABLE",J482="UNASSESSABLE"),"UNSCORABLE",IF(H482&gt;=L482,IF(J482="FULL","CORRECT","PENDING"),IF(I482="FULL","CORRECT",IF(J482="FULL","LATE",IF(OR(I482="PARTIAL",J482="PARTIAL"),"PARTIAL","WRONG / MISSED"))))))))</x:f>
      </x:c>
      <x:c r="AA482" t="str">
        <x:f>IF(OR(A482="",M482&lt;&gt;"VERIFIED",H482="",K482="",J482&lt;&gt;"FULL"),"",K482-H482)</x:f>
      </x:c>
      <x:c r="AB482" t="str">
        <x:f>IF(OR(A482="",M482&lt;&gt;"VERIFIED",H482="",H482&gt;=L482,J482="FULL",J482="UNASSESSABLE"),"",L482-H482)</x:f>
      </x:c>
      <x:c r="AC482" t="n">
        <x:f>IF(AND(A482&lt;&gt;"",M482="VERIFIED",N482="YES",H482&lt;&gt;"",H482&lt;L482,I482&lt;&gt;"UNASSESSABLE",I482&lt;&gt;"UNREVIEWED",I482&lt;&gt;"NOT_DUE"),1,0)</x:f>
        <x:v>0</x:v>
      </x:c>
      <x:c r="AD482" t="n">
        <x:f>IF(AND(AC482=1,I482="FULL"),1,0)</x:f>
        <x:v>0</x:v>
      </x:c>
      <x:c r="AE482" t="n">
        <x:f>IF(AND(AC482=1,OR(I482="FULL",J482="FULL")),1,0)</x:f>
        <x:v>0</x:v>
      </x:c>
      <x:c r="AF482" s="21"/>
    </x:row>
    <x:row r="483">
      <x:c r="H483" s="21"/>
      <x:c r="K483" s="21"/>
      <x:c r="L483" s="21"/>
      <x:c r="Z483" t="str">
        <x:f>IF(A483="","",IF(M483="EXCLUDED","EXCLUDED",IF(M483&lt;&gt;"VERIFIED","UNREVIEWED",IF(OR(H483="",I483="UNASSESSABLE",J483="UNASSESSABLE"),"UNSCORABLE",IF(H483&gt;=L483,IF(J483="FULL","CORRECT","PENDING"),IF(I483="FULL","CORRECT",IF(J483="FULL","LATE",IF(OR(I483="PARTIAL",J483="PARTIAL"),"PARTIAL","WRONG / MISSED"))))))))</x:f>
      </x:c>
      <x:c r="AA483" t="str">
        <x:f>IF(OR(A483="",M483&lt;&gt;"VERIFIED",H483="",K483="",J483&lt;&gt;"FULL"),"",K483-H483)</x:f>
      </x:c>
      <x:c r="AB483" t="str">
        <x:f>IF(OR(A483="",M483&lt;&gt;"VERIFIED",H483="",H483&gt;=L483,J483="FULL",J483="UNASSESSABLE"),"",L483-H483)</x:f>
      </x:c>
      <x:c r="AC483" t="n">
        <x:f>IF(AND(A483&lt;&gt;"",M483="VERIFIED",N483="YES",H483&lt;&gt;"",H483&lt;L483,I483&lt;&gt;"UNASSESSABLE",I483&lt;&gt;"UNREVIEWED",I483&lt;&gt;"NOT_DUE"),1,0)</x:f>
        <x:v>0</x:v>
      </x:c>
      <x:c r="AD483" t="n">
        <x:f>IF(AND(AC483=1,I483="FULL"),1,0)</x:f>
        <x:v>0</x:v>
      </x:c>
      <x:c r="AE483" t="n">
        <x:f>IF(AND(AC483=1,OR(I483="FULL",J483="FULL")),1,0)</x:f>
        <x:v>0</x:v>
      </x:c>
      <x:c r="AF483" s="21"/>
    </x:row>
    <x:row r="484">
      <x:c r="H484" s="21"/>
      <x:c r="K484" s="21"/>
      <x:c r="L484" s="21"/>
      <x:c r="Z484" t="str">
        <x:f>IF(A484="","",IF(M484="EXCLUDED","EXCLUDED",IF(M484&lt;&gt;"VERIFIED","UNREVIEWED",IF(OR(H484="",I484="UNASSESSABLE",J484="UNASSESSABLE"),"UNSCORABLE",IF(H484&gt;=L484,IF(J484="FULL","CORRECT","PENDING"),IF(I484="FULL","CORRECT",IF(J484="FULL","LATE",IF(OR(I484="PARTIAL",J484="PARTIAL"),"PARTIAL","WRONG / MISSED"))))))))</x:f>
      </x:c>
      <x:c r="AA484" t="str">
        <x:f>IF(OR(A484="",M484&lt;&gt;"VERIFIED",H484="",K484="",J484&lt;&gt;"FULL"),"",K484-H484)</x:f>
      </x:c>
      <x:c r="AB484" t="str">
        <x:f>IF(OR(A484="",M484&lt;&gt;"VERIFIED",H484="",H484&gt;=L484,J484="FULL",J484="UNASSESSABLE"),"",L484-H484)</x:f>
      </x:c>
      <x:c r="AC484" t="n">
        <x:f>IF(AND(A484&lt;&gt;"",M484="VERIFIED",N484="YES",H484&lt;&gt;"",H484&lt;L484,I484&lt;&gt;"UNASSESSABLE",I484&lt;&gt;"UNREVIEWED",I484&lt;&gt;"NOT_DUE"),1,0)</x:f>
        <x:v>0</x:v>
      </x:c>
      <x:c r="AD484" t="n">
        <x:f>IF(AND(AC484=1,I484="FULL"),1,0)</x:f>
        <x:v>0</x:v>
      </x:c>
      <x:c r="AE484" t="n">
        <x:f>IF(AND(AC484=1,OR(I484="FULL",J484="FULL")),1,0)</x:f>
        <x:v>0</x:v>
      </x:c>
      <x:c r="AF484" s="21"/>
    </x:row>
    <x:row r="485">
      <x:c r="H485" s="21"/>
      <x:c r="K485" s="21"/>
      <x:c r="L485" s="21"/>
      <x:c r="Z485" t="str">
        <x:f>IF(A485="","",IF(M485="EXCLUDED","EXCLUDED",IF(M485&lt;&gt;"VERIFIED","UNREVIEWED",IF(OR(H485="",I485="UNASSESSABLE",J485="UNASSESSABLE"),"UNSCORABLE",IF(H485&gt;=L485,IF(J485="FULL","CORRECT","PENDING"),IF(I485="FULL","CORRECT",IF(J485="FULL","LATE",IF(OR(I485="PARTIAL",J485="PARTIAL"),"PARTIAL","WRONG / MISSED"))))))))</x:f>
      </x:c>
      <x:c r="AA485" t="str">
        <x:f>IF(OR(A485="",M485&lt;&gt;"VERIFIED",H485="",K485="",J485&lt;&gt;"FULL"),"",K485-H485)</x:f>
      </x:c>
      <x:c r="AB485" t="str">
        <x:f>IF(OR(A485="",M485&lt;&gt;"VERIFIED",H485="",H485&gt;=L485,J485="FULL",J485="UNASSESSABLE"),"",L485-H485)</x:f>
      </x:c>
      <x:c r="AC485" t="n">
        <x:f>IF(AND(A485&lt;&gt;"",M485="VERIFIED",N485="YES",H485&lt;&gt;"",H485&lt;L485,I485&lt;&gt;"UNASSESSABLE",I485&lt;&gt;"UNREVIEWED",I485&lt;&gt;"NOT_DUE"),1,0)</x:f>
        <x:v>0</x:v>
      </x:c>
      <x:c r="AD485" t="n">
        <x:f>IF(AND(AC485=1,I485="FULL"),1,0)</x:f>
        <x:v>0</x:v>
      </x:c>
      <x:c r="AE485" t="n">
        <x:f>IF(AND(AC485=1,OR(I485="FULL",J485="FULL")),1,0)</x:f>
        <x:v>0</x:v>
      </x:c>
      <x:c r="AF485" s="21"/>
    </x:row>
    <x:row r="486">
      <x:c r="H486" s="21"/>
      <x:c r="K486" s="21"/>
      <x:c r="L486" s="21"/>
      <x:c r="Z486" t="str">
        <x:f>IF(A486="","",IF(M486="EXCLUDED","EXCLUDED",IF(M486&lt;&gt;"VERIFIED","UNREVIEWED",IF(OR(H486="",I486="UNASSESSABLE",J486="UNASSESSABLE"),"UNSCORABLE",IF(H486&gt;=L486,IF(J486="FULL","CORRECT","PENDING"),IF(I486="FULL","CORRECT",IF(J486="FULL","LATE",IF(OR(I486="PARTIAL",J486="PARTIAL"),"PARTIAL","WRONG / MISSED"))))))))</x:f>
      </x:c>
      <x:c r="AA486" t="str">
        <x:f>IF(OR(A486="",M486&lt;&gt;"VERIFIED",H486="",K486="",J486&lt;&gt;"FULL"),"",K486-H486)</x:f>
      </x:c>
      <x:c r="AB486" t="str">
        <x:f>IF(OR(A486="",M486&lt;&gt;"VERIFIED",H486="",H486&gt;=L486,J486="FULL",J486="UNASSESSABLE"),"",L486-H486)</x:f>
      </x:c>
      <x:c r="AC486" t="n">
        <x:f>IF(AND(A486&lt;&gt;"",M486="VERIFIED",N486="YES",H486&lt;&gt;"",H486&lt;L486,I486&lt;&gt;"UNASSESSABLE",I486&lt;&gt;"UNREVIEWED",I486&lt;&gt;"NOT_DUE"),1,0)</x:f>
        <x:v>0</x:v>
      </x:c>
      <x:c r="AD486" t="n">
        <x:f>IF(AND(AC486=1,I486="FULL"),1,0)</x:f>
        <x:v>0</x:v>
      </x:c>
      <x:c r="AE486" t="n">
        <x:f>IF(AND(AC486=1,OR(I486="FULL",J486="FULL")),1,0)</x:f>
        <x:v>0</x:v>
      </x:c>
      <x:c r="AF486" s="21"/>
    </x:row>
    <x:row r="487">
      <x:c r="H487" s="21"/>
      <x:c r="K487" s="21"/>
      <x:c r="L487" s="21"/>
      <x:c r="Z487" t="str">
        <x:f>IF(A487="","",IF(M487="EXCLUDED","EXCLUDED",IF(M487&lt;&gt;"VERIFIED","UNREVIEWED",IF(OR(H487="",I487="UNASSESSABLE",J487="UNASSESSABLE"),"UNSCORABLE",IF(H487&gt;=L487,IF(J487="FULL","CORRECT","PENDING"),IF(I487="FULL","CORRECT",IF(J487="FULL","LATE",IF(OR(I487="PARTIAL",J487="PARTIAL"),"PARTIAL","WRONG / MISSED"))))))))</x:f>
      </x:c>
      <x:c r="AA487" t="str">
        <x:f>IF(OR(A487="",M487&lt;&gt;"VERIFIED",H487="",K487="",J487&lt;&gt;"FULL"),"",K487-H487)</x:f>
      </x:c>
      <x:c r="AB487" t="str">
        <x:f>IF(OR(A487="",M487&lt;&gt;"VERIFIED",H487="",H487&gt;=L487,J487="FULL",J487="UNASSESSABLE"),"",L487-H487)</x:f>
      </x:c>
      <x:c r="AC487" t="n">
        <x:f>IF(AND(A487&lt;&gt;"",M487="VERIFIED",N487="YES",H487&lt;&gt;"",H487&lt;L487,I487&lt;&gt;"UNASSESSABLE",I487&lt;&gt;"UNREVIEWED",I487&lt;&gt;"NOT_DUE"),1,0)</x:f>
        <x:v>0</x:v>
      </x:c>
      <x:c r="AD487" t="n">
        <x:f>IF(AND(AC487=1,I487="FULL"),1,0)</x:f>
        <x:v>0</x:v>
      </x:c>
      <x:c r="AE487" t="n">
        <x:f>IF(AND(AC487=1,OR(I487="FULL",J487="FULL")),1,0)</x:f>
        <x:v>0</x:v>
      </x:c>
      <x:c r="AF487" s="21"/>
    </x:row>
    <x:row r="488">
      <x:c r="H488" s="21"/>
      <x:c r="K488" s="21"/>
      <x:c r="L488" s="21"/>
      <x:c r="Z488" t="str">
        <x:f>IF(A488="","",IF(M488="EXCLUDED","EXCLUDED",IF(M488&lt;&gt;"VERIFIED","UNREVIEWED",IF(OR(H488="",I488="UNASSESSABLE",J488="UNASSESSABLE"),"UNSCORABLE",IF(H488&gt;=L488,IF(J488="FULL","CORRECT","PENDING"),IF(I488="FULL","CORRECT",IF(J488="FULL","LATE",IF(OR(I488="PARTIAL",J488="PARTIAL"),"PARTIAL","WRONG / MISSED"))))))))</x:f>
      </x:c>
      <x:c r="AA488" t="str">
        <x:f>IF(OR(A488="",M488&lt;&gt;"VERIFIED",H488="",K488="",J488&lt;&gt;"FULL"),"",K488-H488)</x:f>
      </x:c>
      <x:c r="AB488" t="str">
        <x:f>IF(OR(A488="",M488&lt;&gt;"VERIFIED",H488="",H488&gt;=L488,J488="FULL",J488="UNASSESSABLE"),"",L488-H488)</x:f>
      </x:c>
      <x:c r="AC488" t="n">
        <x:f>IF(AND(A488&lt;&gt;"",M488="VERIFIED",N488="YES",H488&lt;&gt;"",H488&lt;L488,I488&lt;&gt;"UNASSESSABLE",I488&lt;&gt;"UNREVIEWED",I488&lt;&gt;"NOT_DUE"),1,0)</x:f>
        <x:v>0</x:v>
      </x:c>
      <x:c r="AD488" t="n">
        <x:f>IF(AND(AC488=1,I488="FULL"),1,0)</x:f>
        <x:v>0</x:v>
      </x:c>
      <x:c r="AE488" t="n">
        <x:f>IF(AND(AC488=1,OR(I488="FULL",J488="FULL")),1,0)</x:f>
        <x:v>0</x:v>
      </x:c>
      <x:c r="AF488" s="21"/>
    </x:row>
    <x:row r="489">
      <x:c r="H489" s="21"/>
      <x:c r="K489" s="21"/>
      <x:c r="L489" s="21"/>
      <x:c r="Z489" t="str">
        <x:f>IF(A489="","",IF(M489="EXCLUDED","EXCLUDED",IF(M489&lt;&gt;"VERIFIED","UNREVIEWED",IF(OR(H489="",I489="UNASSESSABLE",J489="UNASSESSABLE"),"UNSCORABLE",IF(H489&gt;=L489,IF(J489="FULL","CORRECT","PENDING"),IF(I489="FULL","CORRECT",IF(J489="FULL","LATE",IF(OR(I489="PARTIAL",J489="PARTIAL"),"PARTIAL","WRONG / MISSED"))))))))</x:f>
      </x:c>
      <x:c r="AA489" t="str">
        <x:f>IF(OR(A489="",M489&lt;&gt;"VERIFIED",H489="",K489="",J489&lt;&gt;"FULL"),"",K489-H489)</x:f>
      </x:c>
      <x:c r="AB489" t="str">
        <x:f>IF(OR(A489="",M489&lt;&gt;"VERIFIED",H489="",H489&gt;=L489,J489="FULL",J489="UNASSESSABLE"),"",L489-H489)</x:f>
      </x:c>
      <x:c r="AC489" t="n">
        <x:f>IF(AND(A489&lt;&gt;"",M489="VERIFIED",N489="YES",H489&lt;&gt;"",H489&lt;L489,I489&lt;&gt;"UNASSESSABLE",I489&lt;&gt;"UNREVIEWED",I489&lt;&gt;"NOT_DUE"),1,0)</x:f>
        <x:v>0</x:v>
      </x:c>
      <x:c r="AD489" t="n">
        <x:f>IF(AND(AC489=1,I489="FULL"),1,0)</x:f>
        <x:v>0</x:v>
      </x:c>
      <x:c r="AE489" t="n">
        <x:f>IF(AND(AC489=1,OR(I489="FULL",J489="FULL")),1,0)</x:f>
        <x:v>0</x:v>
      </x:c>
      <x:c r="AF489" s="21"/>
    </x:row>
    <x:row r="490">
      <x:c r="H490" s="21"/>
      <x:c r="K490" s="21"/>
      <x:c r="L490" s="21"/>
      <x:c r="Z490" t="str">
        <x:f>IF(A490="","",IF(M490="EXCLUDED","EXCLUDED",IF(M490&lt;&gt;"VERIFIED","UNREVIEWED",IF(OR(H490="",I490="UNASSESSABLE",J490="UNASSESSABLE"),"UNSCORABLE",IF(H490&gt;=L490,IF(J490="FULL","CORRECT","PENDING"),IF(I490="FULL","CORRECT",IF(J490="FULL","LATE",IF(OR(I490="PARTIAL",J490="PARTIAL"),"PARTIAL","WRONG / MISSED"))))))))</x:f>
      </x:c>
      <x:c r="AA490" t="str">
        <x:f>IF(OR(A490="",M490&lt;&gt;"VERIFIED",H490="",K490="",J490&lt;&gt;"FULL"),"",K490-H490)</x:f>
      </x:c>
      <x:c r="AB490" t="str">
        <x:f>IF(OR(A490="",M490&lt;&gt;"VERIFIED",H490="",H490&gt;=L490,J490="FULL",J490="UNASSESSABLE"),"",L490-H490)</x:f>
      </x:c>
      <x:c r="AC490" t="n">
        <x:f>IF(AND(A490&lt;&gt;"",M490="VERIFIED",N490="YES",H490&lt;&gt;"",H490&lt;L490,I490&lt;&gt;"UNASSESSABLE",I490&lt;&gt;"UNREVIEWED",I490&lt;&gt;"NOT_DUE"),1,0)</x:f>
        <x:v>0</x:v>
      </x:c>
      <x:c r="AD490" t="n">
        <x:f>IF(AND(AC490=1,I490="FULL"),1,0)</x:f>
        <x:v>0</x:v>
      </x:c>
      <x:c r="AE490" t="n">
        <x:f>IF(AND(AC490=1,OR(I490="FULL",J490="FULL")),1,0)</x:f>
        <x:v>0</x:v>
      </x:c>
      <x:c r="AF490" s="21"/>
    </x:row>
    <x:row r="491">
      <x:c r="H491" s="21"/>
      <x:c r="K491" s="21"/>
      <x:c r="L491" s="21"/>
      <x:c r="Z491" t="str">
        <x:f>IF(A491="","",IF(M491="EXCLUDED","EXCLUDED",IF(M491&lt;&gt;"VERIFIED","UNREVIEWED",IF(OR(H491="",I491="UNASSESSABLE",J491="UNASSESSABLE"),"UNSCORABLE",IF(H491&gt;=L491,IF(J491="FULL","CORRECT","PENDING"),IF(I491="FULL","CORRECT",IF(J491="FULL","LATE",IF(OR(I491="PARTIAL",J491="PARTIAL"),"PARTIAL","WRONG / MISSED"))))))))</x:f>
      </x:c>
      <x:c r="AA491" t="str">
        <x:f>IF(OR(A491="",M491&lt;&gt;"VERIFIED",H491="",K491="",J491&lt;&gt;"FULL"),"",K491-H491)</x:f>
      </x:c>
      <x:c r="AB491" t="str">
        <x:f>IF(OR(A491="",M491&lt;&gt;"VERIFIED",H491="",H491&gt;=L491,J491="FULL",J491="UNASSESSABLE"),"",L491-H491)</x:f>
      </x:c>
      <x:c r="AC491" t="n">
        <x:f>IF(AND(A491&lt;&gt;"",M491="VERIFIED",N491="YES",H491&lt;&gt;"",H491&lt;L491,I491&lt;&gt;"UNASSESSABLE",I491&lt;&gt;"UNREVIEWED",I491&lt;&gt;"NOT_DUE"),1,0)</x:f>
        <x:v>0</x:v>
      </x:c>
      <x:c r="AD491" t="n">
        <x:f>IF(AND(AC491=1,I491="FULL"),1,0)</x:f>
        <x:v>0</x:v>
      </x:c>
      <x:c r="AE491" t="n">
        <x:f>IF(AND(AC491=1,OR(I491="FULL",J491="FULL")),1,0)</x:f>
        <x:v>0</x:v>
      </x:c>
      <x:c r="AF491" s="21"/>
    </x:row>
    <x:row r="492">
      <x:c r="H492" s="21"/>
      <x:c r="K492" s="21"/>
      <x:c r="L492" s="21"/>
      <x:c r="Z492" t="str">
        <x:f>IF(A492="","",IF(M492="EXCLUDED","EXCLUDED",IF(M492&lt;&gt;"VERIFIED","UNREVIEWED",IF(OR(H492="",I492="UNASSESSABLE",J492="UNASSESSABLE"),"UNSCORABLE",IF(H492&gt;=L492,IF(J492="FULL","CORRECT","PENDING"),IF(I492="FULL","CORRECT",IF(J492="FULL","LATE",IF(OR(I492="PARTIAL",J492="PARTIAL"),"PARTIAL","WRONG / MISSED"))))))))</x:f>
      </x:c>
      <x:c r="AA492" t="str">
        <x:f>IF(OR(A492="",M492&lt;&gt;"VERIFIED",H492="",K492="",J492&lt;&gt;"FULL"),"",K492-H492)</x:f>
      </x:c>
      <x:c r="AB492" t="str">
        <x:f>IF(OR(A492="",M492&lt;&gt;"VERIFIED",H492="",H492&gt;=L492,J492="FULL",J492="UNASSESSABLE"),"",L492-H492)</x:f>
      </x:c>
      <x:c r="AC492" t="n">
        <x:f>IF(AND(A492&lt;&gt;"",M492="VERIFIED",N492="YES",H492&lt;&gt;"",H492&lt;L492,I492&lt;&gt;"UNASSESSABLE",I492&lt;&gt;"UNREVIEWED",I492&lt;&gt;"NOT_DUE"),1,0)</x:f>
        <x:v>0</x:v>
      </x:c>
      <x:c r="AD492" t="n">
        <x:f>IF(AND(AC492=1,I492="FULL"),1,0)</x:f>
        <x:v>0</x:v>
      </x:c>
      <x:c r="AE492" t="n">
        <x:f>IF(AND(AC492=1,OR(I492="FULL",J492="FULL")),1,0)</x:f>
        <x:v>0</x:v>
      </x:c>
      <x:c r="AF492" s="21"/>
    </x:row>
    <x:row r="493">
      <x:c r="H493" s="21"/>
      <x:c r="K493" s="21"/>
      <x:c r="L493" s="21"/>
      <x:c r="Z493" t="str">
        <x:f>IF(A493="","",IF(M493="EXCLUDED","EXCLUDED",IF(M493&lt;&gt;"VERIFIED","UNREVIEWED",IF(OR(H493="",I493="UNASSESSABLE",J493="UNASSESSABLE"),"UNSCORABLE",IF(H493&gt;=L493,IF(J493="FULL","CORRECT","PENDING"),IF(I493="FULL","CORRECT",IF(J493="FULL","LATE",IF(OR(I493="PARTIAL",J493="PARTIAL"),"PARTIAL","WRONG / MISSED"))))))))</x:f>
      </x:c>
      <x:c r="AA493" t="str">
        <x:f>IF(OR(A493="",M493&lt;&gt;"VERIFIED",H493="",K493="",J493&lt;&gt;"FULL"),"",K493-H493)</x:f>
      </x:c>
      <x:c r="AB493" t="str">
        <x:f>IF(OR(A493="",M493&lt;&gt;"VERIFIED",H493="",H493&gt;=L493,J493="FULL",J493="UNASSESSABLE"),"",L493-H493)</x:f>
      </x:c>
      <x:c r="AC493" t="n">
        <x:f>IF(AND(A493&lt;&gt;"",M493="VERIFIED",N493="YES",H493&lt;&gt;"",H493&lt;L493,I493&lt;&gt;"UNASSESSABLE",I493&lt;&gt;"UNREVIEWED",I493&lt;&gt;"NOT_DUE"),1,0)</x:f>
        <x:v>0</x:v>
      </x:c>
      <x:c r="AD493" t="n">
        <x:f>IF(AND(AC493=1,I493="FULL"),1,0)</x:f>
        <x:v>0</x:v>
      </x:c>
      <x:c r="AE493" t="n">
        <x:f>IF(AND(AC493=1,OR(I493="FULL",J493="FULL")),1,0)</x:f>
        <x:v>0</x:v>
      </x:c>
      <x:c r="AF493" s="21"/>
    </x:row>
    <x:row r="494">
      <x:c r="H494" s="21"/>
      <x:c r="K494" s="21"/>
      <x:c r="L494" s="21"/>
      <x:c r="Z494" t="str">
        <x:f>IF(A494="","",IF(M494="EXCLUDED","EXCLUDED",IF(M494&lt;&gt;"VERIFIED","UNREVIEWED",IF(OR(H494="",I494="UNASSESSABLE",J494="UNASSESSABLE"),"UNSCORABLE",IF(H494&gt;=L494,IF(J494="FULL","CORRECT","PENDING"),IF(I494="FULL","CORRECT",IF(J494="FULL","LATE",IF(OR(I494="PARTIAL",J494="PARTIAL"),"PARTIAL","WRONG / MISSED"))))))))</x:f>
      </x:c>
      <x:c r="AA494" t="str">
        <x:f>IF(OR(A494="",M494&lt;&gt;"VERIFIED",H494="",K494="",J494&lt;&gt;"FULL"),"",K494-H494)</x:f>
      </x:c>
      <x:c r="AB494" t="str">
        <x:f>IF(OR(A494="",M494&lt;&gt;"VERIFIED",H494="",H494&gt;=L494,J494="FULL",J494="UNASSESSABLE"),"",L494-H494)</x:f>
      </x:c>
      <x:c r="AC494" t="n">
        <x:f>IF(AND(A494&lt;&gt;"",M494="VERIFIED",N494="YES",H494&lt;&gt;"",H494&lt;L494,I494&lt;&gt;"UNASSESSABLE",I494&lt;&gt;"UNREVIEWED",I494&lt;&gt;"NOT_DUE"),1,0)</x:f>
        <x:v>0</x:v>
      </x:c>
      <x:c r="AD494" t="n">
        <x:f>IF(AND(AC494=1,I494="FULL"),1,0)</x:f>
        <x:v>0</x:v>
      </x:c>
      <x:c r="AE494" t="n">
        <x:f>IF(AND(AC494=1,OR(I494="FULL",J494="FULL")),1,0)</x:f>
        <x:v>0</x:v>
      </x:c>
      <x:c r="AF494" s="21"/>
    </x:row>
    <x:row r="495">
      <x:c r="H495" s="21"/>
      <x:c r="K495" s="21"/>
      <x:c r="L495" s="21"/>
      <x:c r="Z495" t="str">
        <x:f>IF(A495="","",IF(M495="EXCLUDED","EXCLUDED",IF(M495&lt;&gt;"VERIFIED","UNREVIEWED",IF(OR(H495="",I495="UNASSESSABLE",J495="UNASSESSABLE"),"UNSCORABLE",IF(H495&gt;=L495,IF(J495="FULL","CORRECT","PENDING"),IF(I495="FULL","CORRECT",IF(J495="FULL","LATE",IF(OR(I495="PARTIAL",J495="PARTIAL"),"PARTIAL","WRONG / MISSED"))))))))</x:f>
      </x:c>
      <x:c r="AA495" t="str">
        <x:f>IF(OR(A495="",M495&lt;&gt;"VERIFIED",H495="",K495="",J495&lt;&gt;"FULL"),"",K495-H495)</x:f>
      </x:c>
      <x:c r="AB495" t="str">
        <x:f>IF(OR(A495="",M495&lt;&gt;"VERIFIED",H495="",H495&gt;=L495,J495="FULL",J495="UNASSESSABLE"),"",L495-H495)</x:f>
      </x:c>
      <x:c r="AC495" t="n">
        <x:f>IF(AND(A495&lt;&gt;"",M495="VERIFIED",N495="YES",H495&lt;&gt;"",H495&lt;L495,I495&lt;&gt;"UNASSESSABLE",I495&lt;&gt;"UNREVIEWED",I495&lt;&gt;"NOT_DUE"),1,0)</x:f>
        <x:v>0</x:v>
      </x:c>
      <x:c r="AD495" t="n">
        <x:f>IF(AND(AC495=1,I495="FULL"),1,0)</x:f>
        <x:v>0</x:v>
      </x:c>
      <x:c r="AE495" t="n">
        <x:f>IF(AND(AC495=1,OR(I495="FULL",J495="FULL")),1,0)</x:f>
        <x:v>0</x:v>
      </x:c>
      <x:c r="AF495" s="21"/>
    </x:row>
    <x:row r="496">
      <x:c r="H496" s="21"/>
      <x:c r="K496" s="21"/>
      <x:c r="L496" s="21"/>
      <x:c r="Z496" t="str">
        <x:f>IF(A496="","",IF(M496="EXCLUDED","EXCLUDED",IF(M496&lt;&gt;"VERIFIED","UNREVIEWED",IF(OR(H496="",I496="UNASSESSABLE",J496="UNASSESSABLE"),"UNSCORABLE",IF(H496&gt;=L496,IF(J496="FULL","CORRECT","PENDING"),IF(I496="FULL","CORRECT",IF(J496="FULL","LATE",IF(OR(I496="PARTIAL",J496="PARTIAL"),"PARTIAL","WRONG / MISSED"))))))))</x:f>
      </x:c>
      <x:c r="AA496" t="str">
        <x:f>IF(OR(A496="",M496&lt;&gt;"VERIFIED",H496="",K496="",J496&lt;&gt;"FULL"),"",K496-H496)</x:f>
      </x:c>
      <x:c r="AB496" t="str">
        <x:f>IF(OR(A496="",M496&lt;&gt;"VERIFIED",H496="",H496&gt;=L496,J496="FULL",J496="UNASSESSABLE"),"",L496-H496)</x:f>
      </x:c>
      <x:c r="AC496" t="n">
        <x:f>IF(AND(A496&lt;&gt;"",M496="VERIFIED",N496="YES",H496&lt;&gt;"",H496&lt;L496,I496&lt;&gt;"UNASSESSABLE",I496&lt;&gt;"UNREVIEWED",I496&lt;&gt;"NOT_DUE"),1,0)</x:f>
        <x:v>0</x:v>
      </x:c>
      <x:c r="AD496" t="n">
        <x:f>IF(AND(AC496=1,I496="FULL"),1,0)</x:f>
        <x:v>0</x:v>
      </x:c>
      <x:c r="AE496" t="n">
        <x:f>IF(AND(AC496=1,OR(I496="FULL",J496="FULL")),1,0)</x:f>
        <x:v>0</x:v>
      </x:c>
      <x:c r="AF496" s="21"/>
    </x:row>
    <x:row r="497">
      <x:c r="H497" s="21"/>
      <x:c r="K497" s="21"/>
      <x:c r="L497" s="21"/>
      <x:c r="Z497" t="str">
        <x:f>IF(A497="","",IF(M497="EXCLUDED","EXCLUDED",IF(M497&lt;&gt;"VERIFIED","UNREVIEWED",IF(OR(H497="",I497="UNASSESSABLE",J497="UNASSESSABLE"),"UNSCORABLE",IF(H497&gt;=L497,IF(J497="FULL","CORRECT","PENDING"),IF(I497="FULL","CORRECT",IF(J497="FULL","LATE",IF(OR(I497="PARTIAL",J497="PARTIAL"),"PARTIAL","WRONG / MISSED"))))))))</x:f>
      </x:c>
      <x:c r="AA497" t="str">
        <x:f>IF(OR(A497="",M497&lt;&gt;"VERIFIED",H497="",K497="",J497&lt;&gt;"FULL"),"",K497-H497)</x:f>
      </x:c>
      <x:c r="AB497" t="str">
        <x:f>IF(OR(A497="",M497&lt;&gt;"VERIFIED",H497="",H497&gt;=L497,J497="FULL",J497="UNASSESSABLE"),"",L497-H497)</x:f>
      </x:c>
      <x:c r="AC497" t="n">
        <x:f>IF(AND(A497&lt;&gt;"",M497="VERIFIED",N497="YES",H497&lt;&gt;"",H497&lt;L497,I497&lt;&gt;"UNASSESSABLE",I497&lt;&gt;"UNREVIEWED",I497&lt;&gt;"NOT_DUE"),1,0)</x:f>
        <x:v>0</x:v>
      </x:c>
      <x:c r="AD497" t="n">
        <x:f>IF(AND(AC497=1,I497="FULL"),1,0)</x:f>
        <x:v>0</x:v>
      </x:c>
      <x:c r="AE497" t="n">
        <x:f>IF(AND(AC497=1,OR(I497="FULL",J497="FULL")),1,0)</x:f>
        <x:v>0</x:v>
      </x:c>
      <x:c r="AF497" s="21"/>
    </x:row>
    <x:row r="498">
      <x:c r="H498" s="21"/>
      <x:c r="K498" s="21"/>
      <x:c r="L498" s="21"/>
      <x:c r="Z498" t="str">
        <x:f>IF(A498="","",IF(M498="EXCLUDED","EXCLUDED",IF(M498&lt;&gt;"VERIFIED","UNREVIEWED",IF(OR(H498="",I498="UNASSESSABLE",J498="UNASSESSABLE"),"UNSCORABLE",IF(H498&gt;=L498,IF(J498="FULL","CORRECT","PENDING"),IF(I498="FULL","CORRECT",IF(J498="FULL","LATE",IF(OR(I498="PARTIAL",J498="PARTIAL"),"PARTIAL","WRONG / MISSED"))))))))</x:f>
      </x:c>
      <x:c r="AA498" t="str">
        <x:f>IF(OR(A498="",M498&lt;&gt;"VERIFIED",H498="",K498="",J498&lt;&gt;"FULL"),"",K498-H498)</x:f>
      </x:c>
      <x:c r="AB498" t="str">
        <x:f>IF(OR(A498="",M498&lt;&gt;"VERIFIED",H498="",H498&gt;=L498,J498="FULL",J498="UNASSESSABLE"),"",L498-H498)</x:f>
      </x:c>
      <x:c r="AC498" t="n">
        <x:f>IF(AND(A498&lt;&gt;"",M498="VERIFIED",N498="YES",H498&lt;&gt;"",H498&lt;L498,I498&lt;&gt;"UNASSESSABLE",I498&lt;&gt;"UNREVIEWED",I498&lt;&gt;"NOT_DUE"),1,0)</x:f>
        <x:v>0</x:v>
      </x:c>
      <x:c r="AD498" t="n">
        <x:f>IF(AND(AC498=1,I498="FULL"),1,0)</x:f>
        <x:v>0</x:v>
      </x:c>
      <x:c r="AE498" t="n">
        <x:f>IF(AND(AC498=1,OR(I498="FULL",J498="FULL")),1,0)</x:f>
        <x:v>0</x:v>
      </x:c>
      <x:c r="AF498" s="21"/>
    </x:row>
    <x:row r="499">
      <x:c r="H499" s="21"/>
      <x:c r="K499" s="21"/>
      <x:c r="L499" s="21"/>
      <x:c r="Z499" t="str">
        <x:f>IF(A499="","",IF(M499="EXCLUDED","EXCLUDED",IF(M499&lt;&gt;"VERIFIED","UNREVIEWED",IF(OR(H499="",I499="UNASSESSABLE",J499="UNASSESSABLE"),"UNSCORABLE",IF(H499&gt;=L499,IF(J499="FULL","CORRECT","PENDING"),IF(I499="FULL","CORRECT",IF(J499="FULL","LATE",IF(OR(I499="PARTIAL",J499="PARTIAL"),"PARTIAL","WRONG / MISSED"))))))))</x:f>
      </x:c>
      <x:c r="AA499" t="str">
        <x:f>IF(OR(A499="",M499&lt;&gt;"VERIFIED",H499="",K499="",J499&lt;&gt;"FULL"),"",K499-H499)</x:f>
      </x:c>
      <x:c r="AB499" t="str">
        <x:f>IF(OR(A499="",M499&lt;&gt;"VERIFIED",H499="",H499&gt;=L499,J499="FULL",J499="UNASSESSABLE"),"",L499-H499)</x:f>
      </x:c>
      <x:c r="AC499" t="n">
        <x:f>IF(AND(A499&lt;&gt;"",M499="VERIFIED",N499="YES",H499&lt;&gt;"",H499&lt;L499,I499&lt;&gt;"UNASSESSABLE",I499&lt;&gt;"UNREVIEWED",I499&lt;&gt;"NOT_DUE"),1,0)</x:f>
        <x:v>0</x:v>
      </x:c>
      <x:c r="AD499" t="n">
        <x:f>IF(AND(AC499=1,I499="FULL"),1,0)</x:f>
        <x:v>0</x:v>
      </x:c>
      <x:c r="AE499" t="n">
        <x:f>IF(AND(AC499=1,OR(I499="FULL",J499="FULL")),1,0)</x:f>
        <x:v>0</x:v>
      </x:c>
      <x:c r="AF499" s="21"/>
    </x:row>
    <x:row r="500">
      <x:c r="H500" s="21"/>
      <x:c r="K500" s="21"/>
      <x:c r="L500" s="21"/>
      <x:c r="Z500" t="str">
        <x:f>IF(A500="","",IF(M500="EXCLUDED","EXCLUDED",IF(M500&lt;&gt;"VERIFIED","UNREVIEWED",IF(OR(H500="",I500="UNASSESSABLE",J500="UNASSESSABLE"),"UNSCORABLE",IF(H500&gt;=L500,IF(J500="FULL","CORRECT","PENDING"),IF(I500="FULL","CORRECT",IF(J500="FULL","LATE",IF(OR(I500="PARTIAL",J500="PARTIAL"),"PARTIAL","WRONG / MISSED"))))))))</x:f>
      </x:c>
      <x:c r="AA500" t="str">
        <x:f>IF(OR(A500="",M500&lt;&gt;"VERIFIED",H500="",K500="",J500&lt;&gt;"FULL"),"",K500-H500)</x:f>
      </x:c>
      <x:c r="AB500" t="str">
        <x:f>IF(OR(A500="",M500&lt;&gt;"VERIFIED",H500="",H500&gt;=L500,J500="FULL",J500="UNASSESSABLE"),"",L500-H500)</x:f>
      </x:c>
      <x:c r="AC500" t="n">
        <x:f>IF(AND(A500&lt;&gt;"",M500="VERIFIED",N500="YES",H500&lt;&gt;"",H500&lt;L500,I500&lt;&gt;"UNASSESSABLE",I500&lt;&gt;"UNREVIEWED",I500&lt;&gt;"NOT_DUE"),1,0)</x:f>
        <x:v>0</x:v>
      </x:c>
      <x:c r="AD500" t="n">
        <x:f>IF(AND(AC500=1,I500="FULL"),1,0)</x:f>
        <x:v>0</x:v>
      </x:c>
      <x:c r="AE500" t="n">
        <x:f>IF(AND(AC500=1,OR(I500="FULL",J500="FULL")),1,0)</x:f>
        <x:v>0</x:v>
      </x:c>
      <x:c r="AF500" s="21"/>
    </x:row>
    <x:row r="501">
      <x:c r="H501" s="21"/>
      <x:c r="K501" s="21"/>
      <x:c r="L501" s="21"/>
      <x:c r="Z501" t="str">
        <x:f>IF(A501="","",IF(M501="EXCLUDED","EXCLUDED",IF(M501&lt;&gt;"VERIFIED","UNREVIEWED",IF(OR(H501="",I501="UNASSESSABLE",J501="UNASSESSABLE"),"UNSCORABLE",IF(H501&gt;=L501,IF(J501="FULL","CORRECT","PENDING"),IF(I501="FULL","CORRECT",IF(J501="FULL","LATE",IF(OR(I501="PARTIAL",J501="PARTIAL"),"PARTIAL","WRONG / MISSED"))))))))</x:f>
      </x:c>
      <x:c r="AA501" t="str">
        <x:f>IF(OR(A501="",M501&lt;&gt;"VERIFIED",H501="",K501="",J501&lt;&gt;"FULL"),"",K501-H501)</x:f>
      </x:c>
      <x:c r="AB501" t="str">
        <x:f>IF(OR(A501="",M501&lt;&gt;"VERIFIED",H501="",H501&gt;=L501,J501="FULL",J501="UNASSESSABLE"),"",L501-H501)</x:f>
      </x:c>
      <x:c r="AC501" t="n">
        <x:f>IF(AND(A501&lt;&gt;"",M501="VERIFIED",N501="YES",H501&lt;&gt;"",H501&lt;L501,I501&lt;&gt;"UNASSESSABLE",I501&lt;&gt;"UNREVIEWED",I501&lt;&gt;"NOT_DUE"),1,0)</x:f>
        <x:v>0</x:v>
      </x:c>
      <x:c r="AD501" t="n">
        <x:f>IF(AND(AC501=1,I501="FULL"),1,0)</x:f>
        <x:v>0</x:v>
      </x:c>
      <x:c r="AE501" t="n">
        <x:f>IF(AND(AC501=1,OR(I501="FULL",J501="FULL")),1,0)</x:f>
        <x:v>0</x:v>
      </x:c>
      <x:c r="AF501" s="21"/>
    </x:row>
    <x:row r="502">
      <x:c r="H502" s="21"/>
      <x:c r="K502" s="21"/>
      <x:c r="L502" s="21"/>
      <x:c r="Z502" t="str">
        <x:f>IF(A502="","",IF(M502="EXCLUDED","EXCLUDED",IF(M502&lt;&gt;"VERIFIED","UNREVIEWED",IF(OR(H502="",I502="UNASSESSABLE",J502="UNASSESSABLE"),"UNSCORABLE",IF(H502&gt;=L502,IF(J502="FULL","CORRECT","PENDING"),IF(I502="FULL","CORRECT",IF(J502="FULL","LATE",IF(OR(I502="PARTIAL",J502="PARTIAL"),"PARTIAL","WRONG / MISSED"))))))))</x:f>
      </x:c>
      <x:c r="AA502" t="str">
        <x:f>IF(OR(A502="",M502&lt;&gt;"VERIFIED",H502="",K502="",J502&lt;&gt;"FULL"),"",K502-H502)</x:f>
      </x:c>
      <x:c r="AB502" t="str">
        <x:f>IF(OR(A502="",M502&lt;&gt;"VERIFIED",H502="",H502&gt;=L502,J502="FULL",J502="UNASSESSABLE"),"",L502-H502)</x:f>
      </x:c>
      <x:c r="AC502" t="n">
        <x:f>IF(AND(A502&lt;&gt;"",M502="VERIFIED",N502="YES",H502&lt;&gt;"",H502&lt;L502,I502&lt;&gt;"UNASSESSABLE",I502&lt;&gt;"UNREVIEWED",I502&lt;&gt;"NOT_DUE"),1,0)</x:f>
        <x:v>0</x:v>
      </x:c>
      <x:c r="AD502" t="n">
        <x:f>IF(AND(AC502=1,I502="FULL"),1,0)</x:f>
        <x:v>0</x:v>
      </x:c>
      <x:c r="AE502" t="n">
        <x:f>IF(AND(AC502=1,OR(I502="FULL",J502="FULL")),1,0)</x:f>
        <x:v>0</x:v>
      </x:c>
      <x:c r="AF502" s="21"/>
    </x:row>
    <x:row r="503">
      <x:c r="H503" s="21"/>
      <x:c r="K503" s="21"/>
      <x:c r="L503" s="21"/>
      <x:c r="Z503" t="str">
        <x:f>IF(A503="","",IF(M503="EXCLUDED","EXCLUDED",IF(M503&lt;&gt;"VERIFIED","UNREVIEWED",IF(OR(H503="",I503="UNASSESSABLE",J503="UNASSESSABLE"),"UNSCORABLE",IF(H503&gt;=L503,IF(J503="FULL","CORRECT","PENDING"),IF(I503="FULL","CORRECT",IF(J503="FULL","LATE",IF(OR(I503="PARTIAL",J503="PARTIAL"),"PARTIAL","WRONG / MISSED"))))))))</x:f>
      </x:c>
      <x:c r="AA503" t="str">
        <x:f>IF(OR(A503="",M503&lt;&gt;"VERIFIED",H503="",K503="",J503&lt;&gt;"FULL"),"",K503-H503)</x:f>
      </x:c>
      <x:c r="AB503" t="str">
        <x:f>IF(OR(A503="",M503&lt;&gt;"VERIFIED",H503="",H503&gt;=L503,J503="FULL",J503="UNASSESSABLE"),"",L503-H503)</x:f>
      </x:c>
      <x:c r="AC503" t="n">
        <x:f>IF(AND(A503&lt;&gt;"",M503="VERIFIED",N503="YES",H503&lt;&gt;"",H503&lt;L503,I503&lt;&gt;"UNASSESSABLE",I503&lt;&gt;"UNREVIEWED",I503&lt;&gt;"NOT_DUE"),1,0)</x:f>
        <x:v>0</x:v>
      </x:c>
      <x:c r="AD503" t="n">
        <x:f>IF(AND(AC503=1,I503="FULL"),1,0)</x:f>
        <x:v>0</x:v>
      </x:c>
      <x:c r="AE503" t="n">
        <x:f>IF(AND(AC503=1,OR(I503="FULL",J503="FULL")),1,0)</x:f>
        <x:v>0</x:v>
      </x:c>
      <x:c r="AF503" s="21"/>
    </x:row>
    <x:row r="504">
      <x:c r="H504" s="21"/>
      <x:c r="K504" s="21"/>
      <x:c r="L504" s="21"/>
      <x:c r="Z504" t="str">
        <x:f>IF(A504="","",IF(M504="EXCLUDED","EXCLUDED",IF(M504&lt;&gt;"VERIFIED","UNREVIEWED",IF(OR(H504="",I504="UNASSESSABLE",J504="UNASSESSABLE"),"UNSCORABLE",IF(H504&gt;=L504,IF(J504="FULL","CORRECT","PENDING"),IF(I504="FULL","CORRECT",IF(J504="FULL","LATE",IF(OR(I504="PARTIAL",J504="PARTIAL"),"PARTIAL","WRONG / MISSED"))))))))</x:f>
      </x:c>
      <x:c r="AA504" t="str">
        <x:f>IF(OR(A504="",M504&lt;&gt;"VERIFIED",H504="",K504="",J504&lt;&gt;"FULL"),"",K504-H504)</x:f>
      </x:c>
      <x:c r="AB504" t="str">
        <x:f>IF(OR(A504="",M504&lt;&gt;"VERIFIED",H504="",H504&gt;=L504,J504="FULL",J504="UNASSESSABLE"),"",L504-H504)</x:f>
      </x:c>
      <x:c r="AC504" t="n">
        <x:f>IF(AND(A504&lt;&gt;"",M504="VERIFIED",N504="YES",H504&lt;&gt;"",H504&lt;L504,I504&lt;&gt;"UNASSESSABLE",I504&lt;&gt;"UNREVIEWED",I504&lt;&gt;"NOT_DUE"),1,0)</x:f>
        <x:v>0</x:v>
      </x:c>
      <x:c r="AD504" t="n">
        <x:f>IF(AND(AC504=1,I504="FULL"),1,0)</x:f>
        <x:v>0</x:v>
      </x:c>
      <x:c r="AE504" t="n">
        <x:f>IF(AND(AC504=1,OR(I504="FULL",J504="FULL")),1,0)</x:f>
        <x:v>0</x:v>
      </x:c>
      <x:c r="AF504" s="21"/>
    </x:row>
    <x:row r="505">
      <x:c r="H505" s="21"/>
      <x:c r="K505" s="21"/>
      <x:c r="L505" s="21"/>
      <x:c r="Z505" t="str">
        <x:f>IF(A505="","",IF(M505="EXCLUDED","EXCLUDED",IF(M505&lt;&gt;"VERIFIED","UNREVIEWED",IF(OR(H505="",I505="UNASSESSABLE",J505="UNASSESSABLE"),"UNSCORABLE",IF(H505&gt;=L505,IF(J505="FULL","CORRECT","PENDING"),IF(I505="FULL","CORRECT",IF(J505="FULL","LATE",IF(OR(I505="PARTIAL",J505="PARTIAL"),"PARTIAL","WRONG / MISSED"))))))))</x:f>
      </x:c>
      <x:c r="AA505" t="str">
        <x:f>IF(OR(A505="",M505&lt;&gt;"VERIFIED",H505="",K505="",J505&lt;&gt;"FULL"),"",K505-H505)</x:f>
      </x:c>
      <x:c r="AB505" t="str">
        <x:f>IF(OR(A505="",M505&lt;&gt;"VERIFIED",H505="",H505&gt;=L505,J505="FULL",J505="UNASSESSABLE"),"",L505-H505)</x:f>
      </x:c>
      <x:c r="AC505" t="n">
        <x:f>IF(AND(A505&lt;&gt;"",M505="VERIFIED",N505="YES",H505&lt;&gt;"",H505&lt;L505,I505&lt;&gt;"UNASSESSABLE",I505&lt;&gt;"UNREVIEWED",I505&lt;&gt;"NOT_DUE"),1,0)</x:f>
        <x:v>0</x:v>
      </x:c>
      <x:c r="AD505" t="n">
        <x:f>IF(AND(AC505=1,I505="FULL"),1,0)</x:f>
        <x:v>0</x:v>
      </x:c>
      <x:c r="AE505" t="n">
        <x:f>IF(AND(AC505=1,OR(I505="FULL",J505="FULL")),1,0)</x:f>
        <x:v>0</x:v>
      </x:c>
      <x:c r="AF505" s="21"/>
    </x:row>
  </x:sheetData>
  <x:dataValidations count="6">
    <x:dataValidation type="list" sqref="C6:C505">
      <x:formula1>"Computing hardware,Networks &amp; communications,AI &amp; software,Interfaces &amp; virtual worlds,Biology &amp; medicine,Longevity,Neuroscience &amp; human augmentation,Robotics &amp; transportation,Manufacturing &amp; materials,Energy &amp; environment,Economy &amp; society,Media, education &amp; culture,Security &amp; warfare"</x:formula1>
    </x:dataValidation>
    <x:dataValidation type="list" sqref="I6:I505">
      <x:formula1>"FULL,PARTIAL,NOT_FULFILLED,NOT_DUE,UNASSESSABLE,UNREVIEWED"</x:formula1>
    </x:dataValidation>
    <x:dataValidation type="list" sqref="J6:J505">
      <x:formula1>"FULL,PARTIAL,NOT_FULFILLED,NOT_DUE,UNASSESSABLE,UNREVIEWED"</x:formula1>
    </x:dataValidation>
    <x:dataValidation type="list" sqref="M6:M505">
      <x:formula1>"UNREVIEWED,ATTRIBUTION_CHECKED,EVIDENCE_CHECKED,VERIFIED,EXCLUDED"</x:formula1>
    </x:dataValidation>
    <x:dataValidation type="list" sqref="N6:N505">
      <x:formula1>"YES,NO"</x:formula1>
    </x:dataValidation>
    <x:dataValidation type="list" sqref="U6:U50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cf3bf5e53e45ef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35" hidden="0" customWidth="1"/>
    <x:col min="4" max="4" width="15" hidden="0" customWidth="1"/>
    <x:col min="5" max="5" width="40" hidden="0" customWidth="1"/>
    <x:col min="6" max="6" width="40" hidden="0" customWidth="1"/>
    <x:col min="7" max="7" width="38" hidden="0" customWidth="1"/>
    <x:col min="8" max="8" width="20" hidden="0" customWidth="1"/>
    <x:col min="9" max="9" width="23" hidden="0" customWidth="1"/>
    <x:col min="10" max="10" width="22" hidden="0" customWidth="1"/>
    <x:col min="11" max="11" width="35" hidden="0" customWidth="1"/>
    <x:col min="12" max="12" width="17" hidden="0" customWidth="1"/>
    <x:col min="13" max="13" width="40" hidden="0" customWidth="1"/>
    <x:col min="14" max="14" width="20" hidden="0" customWidth="1"/>
    <x:col min="15" max="15" width="25" hidden="0" customWidth="1"/>
    <x:col min="16" max="16" width="35" hidden="0" customWidth="1"/>
    <x:col min="17" max="17" width="40" hidden="0" customWidth="1"/>
    <x:col min="18" max="18" width="40" hidden="0" customWidth="1"/>
  </x:cols>
  <x:sheetData>
    <x:row r="1" ht="32" customHeight="1">
      <x:c r="A1" s="58" t="str">
        <x:v>LEGACY IMPORT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</x:row>
    <x:row r="3" ht="32" customHeight="1">
      <x:c r="A3" s="60" t="str">
        <x:v>ARCHIVE / NOT EVIDENCE: 93 imported rows = 88 candidates + 5 aggregates. Original files are also preserved in the package.</x:v>
      </x:c>
      <x:c r="B3" s="25"/>
      <x:c r="C3" s="25"/>
      <x:c r="D3" s="25"/>
      <x:c r="E3" s="25"/>
      <x:c r="F3" s="25"/>
      <x:c r="G3" s="25"/>
      <x:c r="H3" s="25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</x:row>
    <x:row r="5" ht="32" customHeight="1">
      <x:c r="A5" s="12" t="str">
        <x:v>Import ID</x:v>
      </x:c>
      <x:c r="B5" s="12" t="str">
        <x:v>Row type</x:v>
      </x:c>
      <x:c r="C5" s="12" t="str">
        <x:v>Report</x:v>
      </x:c>
      <x:c r="D5" s="12" t="str">
        <x:v>Line in saved report</x:v>
      </x:c>
      <x:c r="E5" s="12" t="str">
        <x:v>Original prediction / normalized claim</x:v>
      </x:c>
      <x:c r="F5" s="12" t="str">
        <x:v>Original quoted lead</x:v>
      </x:c>
      <x:c r="G5" s="12" t="str">
        <x:v>Original source lead</x:v>
      </x:c>
      <x:c r="H5" s="12" t="str">
        <x:v>Original target</x:v>
      </x:c>
      <x:c r="I5" s="12" t="str">
        <x:v>Original category</x:v>
      </x:c>
      <x:c r="J5" s="12" t="str">
        <x:v>Original status</x:v>
      </x:c>
      <x:c r="K5" s="12" t="str">
        <x:v>Original actual year / outcome</x:v>
      </x:c>
      <x:c r="L5" s="12" t="str">
        <x:v>Original drift</x:v>
      </x:c>
      <x:c r="M5" s="12" t="str">
        <x:v>Original evidence / notes</x:v>
      </x:c>
      <x:c r="N5" s="12" t="str">
        <x:v>Original confidence</x:v>
      </x:c>
      <x:c r="O5" s="12" t="str">
        <x:v>Original tags</x:v>
      </x:c>
      <x:c r="P5" s="12" t="str">
        <x:v>Original citation tokens</x:v>
      </x:c>
      <x:c r="Q5" s="12" t="str">
        <x:v>Parsing note</x:v>
      </x:c>
      <x:c r="R5" s="12" t="str">
        <x:v>Raw row</x:v>
      </x:c>
    </x:row>
    <x:row r="6" ht="58" customHeight="1">
      <x:c r="A6" s="17" t="str">
        <x:v>AUD-001</x:v>
      </x:c>
      <x:c r="B6" s="17" t="str">
        <x:v>candidate</x:v>
      </x:c>
      <x:c r="C6" s="17" t="str">
        <x:v>Ray Kurzweil Predictions Audit.txt</x:v>
      </x:c>
      <x:c r="D6" s="17" t="n">
        <x:v>14</x:v>
      </x:c>
      <x:c r="E6" s="17" t="str">
        <x:v>Computer will defeat world chess champion by 1998.</x:v>
      </x:c>
      <x:c r="F6" s="17" t="str">
        <x:v>“computers will beat the best human players by 2000”【17†L643-L647】</x:v>
      </x:c>
      <x:c r="G6" s="17" t="str">
        <x:v>*Age of Intelligent Machines* (1990)</x:v>
      </x:c>
      <x:c r="H6" s="17" t="str">
        <x:v>1998</x:v>
      </x:c>
      <x:c r="I6" s="17" t="str">
        <x:v>AI/Games</x:v>
      </x:c>
      <x:c r="J6" s="17" t="str">
        <x:v>Achieved</x:v>
      </x:c>
      <x:c r="K6" s="17" t="str">
        <x:v>1997</x:v>
      </x:c>
      <x:c r="L6" s="17" t="str">
        <x:v>−1</x:v>
      </x:c>
      <x:c r="M6" s="17" t="str">
        <x:v>IBM’s Deep Blue beat Garry Kasparov in 1997 (one year early)【37†L6768-L6772】.</x:v>
      </x:c>
      <x:c r="N6" s="17" t="str">
        <x:v>High</x:v>
      </x:c>
      <x:c r="O6" s="17" t="str"/>
      <x:c r="P6" s="17"/>
      <x:c r="Q6" s="17"/>
      <x:c r="R6" s="17" t="str">
        <x:v>| 001 | “computers will beat the best human players by 2000”【17†L643-L647】   | Computer will defeat world chess champion by 1998.                       | *Age of Intelligent Machines* (1990)                      | 1998             | AI/Games           | Achieved          | 1997          | −1          | IBM’s Deep Blue beat Garry Kasparov in 1997 (one year early)【37†L6768-L6772】.       | High  |            |</x:v>
      </x:c>
    </x:row>
    <x:row r="7" ht="58" customHeight="1">
      <x:c r="A7" s="17" t="str">
        <x:v>AUD-002</x:v>
      </x:c>
      <x:c r="B7" s="17" t="str">
        <x:v>candidate</x:v>
      </x:c>
      <x:c r="C7" s="17" t="str">
        <x:v>Ray Kurzweil Predictions Audit.txt</x:v>
      </x:c>
      <x:c r="D7" s="17" t="n">
        <x:v>15</x:v>
      </x:c>
      <x:c r="E7" s="17" t="str">
        <x:v>Global Internet will connect everyone to information.</x:v>
      </x:c>
      <x:c r="F7" s="17" t="str">
        <x:v>“worldwide web of communications tying together people …to all human knowledge”【39†L320-L326】</x:v>
      </x:c>
      <x:c r="G7" s="17" t="str">
        <x:v>*Age of Intelligent Machines* (1990)</x:v>
      </x:c>
      <x:c r="H7" s="17" t="str">
        <x:v>(unspecified)</x:v>
      </x:c>
      <x:c r="I7" s="17" t="str">
        <x:v>Computing/Internet</x:v>
      </x:c>
      <x:c r="J7" s="17" t="str">
        <x:v>Achieved</x:v>
      </x:c>
      <x:c r="K7" s="17" t="str">
        <x:v>~1995</x:v>
      </x:c>
      <x:c r="L7" s="17" t="str">
        <x:v>N/A</x:v>
      </x:c>
      <x:c r="M7" s="17" t="str">
        <x:v>The Internet/WWW exploded in the 1990s as predicted【39†L320-L326】.</x:v>
      </x:c>
      <x:c r="N7" s="17" t="str">
        <x:v>High</x:v>
      </x:c>
      <x:c r="O7" s="17" t="str"/>
      <x:c r="P7" s="17"/>
      <x:c r="Q7" s="17"/>
      <x:c r="R7" s="17" t="str">
        <x:v>| 002 | “worldwide web of communications tying together people …to all human knowledge”【39†L320-L326】 | Global Internet will connect everyone to information.                    | *Age of Intelligent Machines* (1990)                      | (unspecified)    | Computing/Internet | Achieved          | ~1995         | N/A         | The Internet/WWW exploded in the 1990s as predicted【39†L320-L326】.                 | High  |            |</x:v>
      </x:c>
    </x:row>
    <x:row r="8" ht="58" customHeight="1">
      <x:c r="A8" s="17" t="str">
        <x:v>AUD-003</x:v>
      </x:c>
      <x:c r="B8" s="17" t="str">
        <x:v>candidate</x:v>
      </x:c>
      <x:c r="C8" s="17" t="str">
        <x:v>Ray Kurzweil Predictions Audit.txt</x:v>
      </x:c>
      <x:c r="D8" s="17" t="n">
        <x:v>16</x:v>
      </x:c>
      <x:c r="E8" s="17" t="str">
        <x:v>Communication tech will democratize society and contribute to the USSR’s collapse.</x:v>
      </x:c>
      <x:c r="F8" s="17" t="str">
        <x:v>“a great wave of democratization …sweeping away the Soviet Union”【39†L320-L326】</x:v>
      </x:c>
      <x:c r="G8" s="17" t="str">
        <x:v>*Age of Intelligent Machines* (1990)</x:v>
      </x:c>
      <x:c r="H8" s="17" t="str">
        <x:v>~1990s</x:v>
      </x:c>
      <x:c r="I8" s="17" t="str">
        <x:v>Society/Politics</x:v>
      </x:c>
      <x:c r="J8" s="17" t="str">
        <x:v>Achieved</x:v>
      </x:c>
      <x:c r="K8" s="17" t="str">
        <x:v>1991</x:v>
      </x:c>
      <x:c r="L8" s="17" t="str">
        <x:v>−?</x:v>
      </x:c>
      <x:c r="M8" s="17" t="str">
        <x:v>The USSR dissolved in 1991 (before Kurzweil’s broad “1990s” forecast)【39†L320-L326】.</x:v>
      </x:c>
      <x:c r="N8" s="17" t="str">
        <x:v>High</x:v>
      </x:c>
      <x:c r="O8" s="17" t="str"/>
      <x:c r="P8" s="17"/>
      <x:c r="Q8" s="17"/>
      <x:c r="R8" s="17" t="str">
        <x:v>| 003 | “a great wave of democratization …sweeping away the Soviet Union”【39†L320-L326】        | Communication tech will democratize society and contribute to the USSR’s collapse. | *Age of Intelligent Machines* (1990)                      | ~1990s          | Society/Politics   | Achieved          | 1991          | −?          | The USSR dissolved in 1991 (before Kurzweil’s broad “1990s” forecast)【39†L320-L326】. | High  |            |</x:v>
      </x:c>
    </x:row>
    <x:row r="9" ht="58" customHeight="1">
      <x:c r="A9" s="17" t="str">
        <x:v>AUD-004</x:v>
      </x:c>
      <x:c r="B9" s="17" t="str">
        <x:v>candidate</x:v>
      </x:c>
      <x:c r="C9" s="17" t="str">
        <x:v>Ray Kurzweil Predictions Audit.txt</x:v>
      </x:c>
      <x:c r="D9" s="17" t="n">
        <x:v>17</x:v>
      </x:c>
      <x:c r="E9" s="17" t="str">
        <x:v>Portable computers will be much lighter/thinner by ~2010.</x:v>
      </x:c>
      <x:c r="F9" s="17" t="str">
        <x:v>“portable computers will have become dramatically lighter and thinner than the notebook computers of ten years earlier.”【58†L7-L11】</x:v>
      </x:c>
      <x:c r="G9" s="17" t="str">
        <x:v>*Age of Spiritual Machines* (1999)</x:v>
      </x:c>
      <x:c r="H9" s="17" t="str">
        <x:v>2009</x:v>
      </x:c>
      <x:c r="I9" s="17" t="str">
        <x:v>Computing/Hardware</x:v>
      </x:c>
      <x:c r="J9" s="17" t="str">
        <x:v>Achieved</x:v>
      </x:c>
      <x:c r="K9" s="17" t="str">
        <x:v>2010</x:v>
      </x:c>
      <x:c r="L9" s="17" t="str">
        <x:v>+1</x:v>
      </x:c>
      <x:c r="M9" s="17" t="str">
        <x:v>Laptops like the MacBook Air (2008) exemplified this trend【58†L7-L11】.</x:v>
      </x:c>
      <x:c r="N9" s="17" t="str">
        <x:v>High</x:v>
      </x:c>
      <x:c r="O9" s="17" t="str"/>
      <x:c r="P9" s="17"/>
      <x:c r="Q9" s="17"/>
      <x:c r="R9" s="17" t="str">
        <x:v>| 004 | “portable computers will have become dramatically lighter and thinner than the notebook computers of ten years earlier.”【58†L7-L11】 | Portable computers will be much lighter/thinner by ~2010.               | *Age of Spiritual Machines* (1999)                        | 2009             | Computing/Hardware | Achieved          | 2010          | +1          | Laptops like the MacBook Air (2008) exemplified this trend【58†L7-L11】.            | High  |            |</x:v>
      </x:c>
    </x:row>
    <x:row r="10" ht="58" customHeight="1">
      <x:c r="A10" s="17" t="str">
        <x:v>AUD-005</x:v>
      </x:c>
      <x:c r="B10" s="17" t="str">
        <x:v>candidate</x:v>
      </x:c>
      <x:c r="C10" s="17" t="str">
        <x:v>Ray Kurzweil Predictions Audit.txt</x:v>
      </x:c>
      <x:c r="D10" s="17" t="n">
        <x:v>18</x:v>
      </x:c>
      <x:c r="E10" s="17" t="str">
        <x:v>Computers will be embedded in clothing and personal accessories by 2010.</x:v>
      </x:c>
      <x:c r="F10" s="17" t="str">
        <x:v>“Personal computers are available …embedded in clothing and jewelry”【58†L12-L16】</x:v>
      </x:c>
      <x:c r="G10" s="17" t="str">
        <x:v>*Age of Spiritual Machines* (1999)</x:v>
      </x:c>
      <x:c r="H10" s="17" t="str">
        <x:v>2009</x:v>
      </x:c>
      <x:c r="I10" s="17" t="str">
        <x:v>Computing/Hardware</x:v>
      </x:c>
      <x:c r="J10" s="17" t="str">
        <x:v>Achieved</x:v>
      </x:c>
      <x:c r="K10" s="17" t="str">
        <x:v>2009</x:v>
      </x:c>
      <x:c r="L10" s="17" t="str">
        <x:v>0</x:v>
      </x:c>
      <x:c r="M10" s="17" t="str">
        <x:v>Wearables (smartwatches, shirts with chips) have become common by ~2010【58†L12-L16】.</x:v>
      </x:c>
      <x:c r="N10" s="17" t="str">
        <x:v>High</x:v>
      </x:c>
      <x:c r="O10" s="17" t="str"/>
      <x:c r="P10" s="17"/>
      <x:c r="Q10" s="17"/>
      <x:c r="R10" s="17" t="str">
        <x:v>| 005 | “Personal computers are available …embedded in clothing and jewelry”【58†L12-L16】      | Computers will be embedded in clothing and personal accessories by 2010. | *Age of Spiritual Machines* (1999)                        | 2009             | Computing/Hardware | Achieved          | 2009          | 0           | Wearables (smartwatches, shirts with chips) have become common by ~2010【58†L12-L16】. | High  |            |</x:v>
      </x:c>
    </x:row>
    <x:row r="11" ht="58" customHeight="1">
      <x:c r="A11" s="17" t="str">
        <x:v>AUD-006</x:v>
      </x:c>
      <x:c r="B11" s="17" t="str">
        <x:v>candidate</x:v>
      </x:c>
      <x:c r="C11" s="17" t="str">
        <x:v>Ray Kurzweil Predictions Audit.txt</x:v>
      </x:c>
      <x:c r="D11" s="17" t="n">
        <x:v>19</x:v>
      </x:c>
      <x:c r="E11" s="17" t="str">
        <x:v>People will carry many networked devices (body LANs) by 2009.</x:v>
      </x:c>
      <x:c r="F11" s="17" t="str">
        <x:v>“People typically have at least a dozen computers on and around their bodies”【58†L23-L28】</x:v>
      </x:c>
      <x:c r="G11" s="17" t="str">
        <x:v>*Age of Spiritual Machines* (1999)</x:v>
      </x:c>
      <x:c r="H11" s="17" t="str">
        <x:v>2009</x:v>
      </x:c>
      <x:c r="I11" s="17" t="str">
        <x:v>Computing/Hardware</x:v>
      </x:c>
      <x:c r="J11" s="17" t="str">
        <x:v>Achieved</x:v>
      </x:c>
      <x:c r="K11" s="17" t="str">
        <x:v>2008</x:v>
      </x:c>
      <x:c r="L11" s="17" t="str">
        <x:v>−1</x:v>
      </x:c>
      <x:c r="M11" s="17" t="str">
        <x:v>Smartphones, MP3 players, smart glasses, etc. fulfill this; many carry &gt;12 devices【58†L23-L28】.</x:v>
      </x:c>
      <x:c r="N11" s="17" t="str">
        <x:v>High</x:v>
      </x:c>
      <x:c r="O11" s="17" t="str"/>
      <x:c r="P11" s="17"/>
      <x:c r="Q11" s="17"/>
      <x:c r="R11" s="17" t="str">
        <x:v>| 006 | “People typically have at least a dozen computers on and around their bodies”【58†L23-L28】 | People will carry many networked devices (body LANs) by 2009.           | *Age of Spiritual Machines* (1999)                        | 2009             | Computing/Hardware | Achieved          | 2008          | −1          | Smartphones, MP3 players, smart glasses, etc. fulfill this; many carry &gt;12 devices【58†L23-L28】. | High  |            |</x:v>
      </x:c>
    </x:row>
    <x:row r="12" ht="58" customHeight="1">
      <x:c r="A12" s="17" t="str">
        <x:v>AUD-007</x:v>
      </x:c>
      <x:c r="B12" s="17" t="str">
        <x:v>candidate</x:v>
      </x:c>
      <x:c r="C12" s="17" t="str">
        <x:v>Ray Kurzweil Predictions Audit.txt</x:v>
      </x:c>
      <x:c r="D12" s="17" t="n">
        <x:v>20</x:v>
      </x:c>
      <x:c r="E12" s="17" t="str">
        <x:v>Personal devices will be solid-state (no moving parts) by 2009.</x:v>
      </x:c>
      <x:c r="F12" s="17" t="str">
        <x:v>“For the most part, these truly personal computers have no moving parts. Memory is completely electronic.”【58†L30-L34】</x:v>
      </x:c>
      <x:c r="G12" s="17" t="str">
        <x:v>*Age of Spiritual Machines* (1999)</x:v>
      </x:c>
      <x:c r="H12" s="17" t="str">
        <x:v>2009</x:v>
      </x:c>
      <x:c r="I12" s="17" t="str">
        <x:v>Computing/Hardware</x:v>
      </x:c>
      <x:c r="J12" s="17" t="str">
        <x:v>Achieved</x:v>
      </x:c>
      <x:c r="K12" s="17" t="str">
        <x:v>2005</x:v>
      </x:c>
      <x:c r="L12" s="17" t="str">
        <x:v>−4</x:v>
      </x:c>
      <x:c r="M12" s="17" t="str">
        <x:v>Flash memory and solid-state drives became dominant by mid-2000s【58†L30-L34】.</x:v>
      </x:c>
      <x:c r="N12" s="17" t="str">
        <x:v>High</x:v>
      </x:c>
      <x:c r="O12" s="17" t="str"/>
      <x:c r="P12" s="17"/>
      <x:c r="Q12" s="17"/>
      <x:c r="R12" s="17" t="str">
        <x:v>| 007 | “For the most part, these truly personal computers have no moving parts. Memory is completely electronic.”【58†L30-L34】 | Personal devices will be solid-state (no moving parts) by 2009.        | *Age of Spiritual Machines* (1999)                        | 2009             | Computing/Hardware | Achieved          | 2005          | −4          | Flash memory and solid-state drives became dominant by mid-2000s【58†L30-L34】.      | High  |            |</x:v>
      </x:c>
    </x:row>
    <x:row r="13" ht="58" customHeight="1">
      <x:c r="A13" s="17" t="str">
        <x:v>AUD-008</x:v>
      </x:c>
      <x:c r="B13" s="17" t="str">
        <x:v>candidate</x:v>
      </x:c>
      <x:c r="C13" s="17" t="str">
        <x:v>Ray Kurzweil Predictions Audit.txt</x:v>
      </x:c>
      <x:c r="D13" s="17" t="n">
        <x:v>21</x:v>
      </x:c>
      <x:c r="E13" s="17" t="str">
        <x:v>Most mobile computing will be by touch/voice, not keyboards, by 2010.</x:v>
      </x:c>
      <x:c r="F13" s="17" t="str">
        <x:v>“Most portable computers do not have keyboards.”【58†L37-L40】</x:v>
      </x:c>
      <x:c r="G13" s="17" t="str">
        <x:v>*Age of Spiritual Machines* (1999)</x:v>
      </x:c>
      <x:c r="H13" s="17" t="str">
        <x:v>2009</x:v>
      </x:c>
      <x:c r="I13" s="17" t="str">
        <x:v>Computing/Hardware</x:v>
      </x:c>
      <x:c r="J13" s="17" t="str">
        <x:v>Achieved</x:v>
      </x:c>
      <x:c r="K13" s="17" t="str">
        <x:v>2015</x:v>
      </x:c>
      <x:c r="L13" s="17" t="str">
        <x:v>+6</x:v>
      </x:c>
      <x:c r="M13" s="17" t="str">
        <x:v>Tablets/phones (post-2010) largely eliminated keyboards, though Kurzweil expected this by 2010【58†L37-L40】.</x:v>
      </x:c>
      <x:c r="N13" s="17" t="str">
        <x:v>Med</x:v>
      </x:c>
      <x:c r="O13" s="17" t="str"/>
      <x:c r="P13" s="17"/>
      <x:c r="Q13" s="17"/>
      <x:c r="R13" s="17" t="str">
        <x:v>| 008 | “Most portable computers do not have keyboards.”【58†L37-L40】                  | Most mobile computing will be by touch/voice, not keyboards, by 2010.  | *Age of Spiritual Machines* (1999)                        | 2009             | Computing/Hardware | Achieved          | 2015          | +6          | Tablets/phones (post-2010) largely eliminated keyboards, though Kurzweil expected this by 2010【58†L37-L40】. | Med   |            |</x:v>
      </x:c>
    </x:row>
    <x:row r="14" ht="58" customHeight="1">
      <x:c r="A14" s="17" t="str">
        <x:v>AUD-009</x:v>
      </x:c>
      <x:c r="B14" s="17" t="str">
        <x:v>candidate</x:v>
      </x:c>
      <x:c r="C14" s="17" t="str">
        <x:v>Ray Kurzweil Predictions Audit.txt</x:v>
      </x:c>
      <x:c r="D14" s="17" t="n">
        <x:v>22</x:v>
      </x:c>
      <x:c r="E14" s="17" t="str">
        <x:v>Most people will store data (music, video, docs) on their own servers by 2010.</x:v>
      </x:c>
      <x:c r="F14" s="17" t="str">
        <x:v>“users have servers in their homes …keep large stores of digital ‘objects’”【58†L42-L46】</x:v>
      </x:c>
      <x:c r="G14" s="17" t="str">
        <x:v>*Age of Spiritual Machines* (1999)</x:v>
      </x:c>
      <x:c r="H14" s="17" t="str">
        <x:v>2009</x:v>
      </x:c>
      <x:c r="I14" s="17" t="str">
        <x:v>Computing/Internet</x:v>
      </x:c>
      <x:c r="J14" s="17" t="str">
        <x:v>Partially Achieved</x:v>
      </x:c>
      <x:c r="K14" s="17" t="str">
        <x:v>2010</x:v>
      </x:c>
      <x:c r="L14" s="17" t="str">
        <x:v>+1</x:v>
      </x:c>
      <x:c r="M14" s="17" t="str">
        <x:v>Home NAS devices and later cloud services exist; home servers are not ubiquitous (so partial)【58†L42-L46】.</x:v>
      </x:c>
      <x:c r="N14" s="17" t="str">
        <x:v>Medium</x:v>
      </x:c>
      <x:c r="O14" s="17" t="str"/>
      <x:c r="P14" s="17"/>
      <x:c r="Q14" s="17"/>
      <x:c r="R14" s="17" t="str">
        <x:v>| 009 | “users have servers in their homes …keep large stores of digital ‘objects’”【58†L42-L46】 | Most people will store data (music, video, docs) on their own servers by 2010. | *Age of Spiritual Machines* (1999)                        | 2009             | Computing/Internet | Partially Achieved | 2010          | +1          | Home NAS devices and later cloud services exist; home servers are not ubiquitous (so partial)【58†L42-L46】. | Medium |            |</x:v>
      </x:c>
    </x:row>
    <x:row r="15" ht="58" customHeight="1">
      <x:c r="A15" s="17" t="str">
        <x:v>AUD-010</x:v>
      </x:c>
      <x:c r="B15" s="17" t="str">
        <x:v>candidate</x:v>
      </x:c>
      <x:c r="C15" s="17" t="str">
        <x:v>Ray Kurzweil Predictions Audit.txt</x:v>
      </x:c>
      <x:c r="D15" s="17" t="n">
        <x:v>23</x:v>
      </x:c>
      <x:c r="E15" s="17" t="str">
        <x:v>Media (music, books, movies) will be distributed mostly digitally by 2010.</x:v>
      </x:c>
      <x:c r="F15" s="17" t="str">
        <x:v>“Digital objects such as books, music albums, movies…are rapidly distributed as data files …without a physical object.”【58†L48-L52】</x:v>
      </x:c>
      <x:c r="G15" s="17" t="str">
        <x:v>*Age of Spiritual Machines* (1999)</x:v>
      </x:c>
      <x:c r="H15" s="17" t="str">
        <x:v>2009</x:v>
      </x:c>
      <x:c r="I15" s="17" t="str">
        <x:v>Media/Digital</x:v>
      </x:c>
      <x:c r="J15" s="17" t="str">
        <x:v>Achieved</x:v>
      </x:c>
      <x:c r="K15" s="17" t="str">
        <x:v>2008</x:v>
      </x:c>
      <x:c r="L15" s="17" t="str">
        <x:v>−1</x:v>
      </x:c>
      <x:c r="M15" s="17" t="str">
        <x:v>By 2009, music and books were mostly downloaded/streamed (e.g. Kindle, iTunes)【58†L48-L52】.</x:v>
      </x:c>
      <x:c r="N15" s="17" t="str">
        <x:v>High</x:v>
      </x:c>
      <x:c r="O15" s="17" t="str"/>
      <x:c r="P15" s="17"/>
      <x:c r="Q15" s="17"/>
      <x:c r="R15" s="17" t="str">
        <x:v>| 010 | “Digital objects such as books, music albums, movies…are rapidly distributed as data files …without a physical object.”【58†L48-L52】 | Media (music, books, movies) will be distributed mostly digitally by 2010. | *Age of Spiritual Machines* (1999)                        | 2009             | Media/Digital      | Achieved          | 2008          | −1          | By 2009, music and books were mostly downloaded/streamed (e.g. Kindle, iTunes)【58†L48-L52】.  | High  |            |</x:v>
      </x:c>
    </x:row>
    <x:row r="16" ht="58" customHeight="1">
      <x:c r="A16" s="17" t="str">
        <x:v>AUD-011</x:v>
      </x:c>
      <x:c r="B16" s="17" t="str">
        <x:v>candidate</x:v>
      </x:c>
      <x:c r="C16" s="17" t="str">
        <x:v>Ray Kurzweil Predictions Audit.txt</x:v>
      </x:c>
      <x:c r="D16" s="17" t="n">
        <x:v>24</x:v>
      </x:c>
      <x:c r="E16" s="17" t="str">
        <x:v>Wired cables will vanish in favor of short-range wireless by 2010.</x:v>
      </x:c>
      <x:c r="F16" s="17" t="str">
        <x:v>“Cables are disappearing. Communication…uses short-distance wireless technology.”【58†L67-L70】</x:v>
      </x:c>
      <x:c r="G16" s="17" t="str">
        <x:v>*Age of Spiritual Machines* (1999)</x:v>
      </x:c>
      <x:c r="H16" s="17" t="str">
        <x:v>2009</x:v>
      </x:c>
      <x:c r="I16" s="17" t="str">
        <x:v>Computing/Hardware</x:v>
      </x:c>
      <x:c r="J16" s="17" t="str">
        <x:v>Achieved</x:v>
      </x:c>
      <x:c r="K16" s="17" t="str">
        <x:v>2010</x:v>
      </x:c>
      <x:c r="L16" s="17" t="str">
        <x:v>+1</x:v>
      </x:c>
      <x:c r="M16" s="17" t="str">
        <x:v>Bluetooth/Wi-Fi proliferation means most devices connect wirelessly today【58†L67-L70】.</x:v>
      </x:c>
      <x:c r="N16" s="17" t="str">
        <x:v>High</x:v>
      </x:c>
      <x:c r="O16" s="17" t="str"/>
      <x:c r="P16" s="17"/>
      <x:c r="Q16" s="17"/>
      <x:c r="R16" s="17" t="str">
        <x:v>| 011 | “Cables are disappearing. Communication…uses short-distance wireless technology.”【58†L67-L70】 | Wired cables will vanish in favor of short-range wireless by 2010.    | *Age of Spiritual Machines* (1999)                        | 2009             | Computing/Hardware | Achieved          | 2010          | +1          | Bluetooth/Wi-Fi proliferation means most devices connect wirelessly today【58†L67-L70】. | High  |            |</x:v>
      </x:c>
    </x:row>
    <x:row r="17" ht="58" customHeight="1">
      <x:c r="A17" s="17" t="str">
        <x:v>AUD-012</x:v>
      </x:c>
      <x:c r="B17" s="17" t="str">
        <x:v>candidate</x:v>
      </x:c>
      <x:c r="C17" s="17" t="str">
        <x:v>Ray Kurzweil Predictions Audit.txt</x:v>
      </x:c>
      <x:c r="D17" s="17" t="n">
        <x:v>25</x:v>
      </x:c>
      <x:c r="E17" s="17" t="str">
        <x:v>High-speed wireless networking will be ubiquitous by 2010.</x:v>
      </x:c>
      <x:c r="F17" s="17" t="str">
        <x:v>“Computers routinely include wireless technology to plug into the ever-present worldwide network.”【58†L73-L76】</x:v>
      </x:c>
      <x:c r="G17" s="17" t="str">
        <x:v>*Age of Spiritual Machines* (1999)</x:v>
      </x:c>
      <x:c r="H17" s="17" t="str">
        <x:v>2009</x:v>
      </x:c>
      <x:c r="I17" s="17" t="str">
        <x:v>Computing/Internet</x:v>
      </x:c>
      <x:c r="J17" s="17" t="str">
        <x:v>Achieved</x:v>
      </x:c>
      <x:c r="K17" s="17" t="str">
        <x:v>2010</x:v>
      </x:c>
      <x:c r="L17" s="17" t="str">
        <x:v>+1</x:v>
      </x:c>
      <x:c r="M17" s="17" t="str">
        <x:v>3G/4G cellular and Wi-Fi rolled out globally by 2010【58†L73-L76】.</x:v>
      </x:c>
      <x:c r="N17" s="17" t="str">
        <x:v>High</x:v>
      </x:c>
      <x:c r="O17" s="17" t="str"/>
      <x:c r="P17" s="17"/>
      <x:c r="Q17" s="17"/>
      <x:c r="R17" s="17" t="str">
        <x:v>| 012 | “Computers routinely include wireless technology to plug into the ever-present worldwide network.”【58†L73-L76】 | High-speed wireless networking will be ubiquitous by 2010.           | *Age of Spiritual Machines* (1999)                        | 2009             | Computing/Internet | Achieved          | 2010          | +1          | 3G/4G cellular and Wi-Fi rolled out globally by 2010【58†L73-L76】.             | High  |            |</x:v>
      </x:c>
    </x:row>
    <x:row r="18" ht="58" customHeight="1">
      <x:c r="A18" s="17" t="str">
        <x:v>AUD-013</x:v>
      </x:c>
      <x:c r="B18" s="17" t="str">
        <x:v>candidate</x:v>
      </x:c>
      <x:c r="C18" s="17" t="str">
        <x:v>Ray Kurzweil Predictions Audit.txt</x:v>
      </x:c>
      <x:c r="D18" s="17" t="n">
        <x:v>26</x:v>
      </x:c>
      <x:c r="E18" s="17" t="str">
        <x:v>Most text will be created via dictation by 2010.</x:v>
      </x:c>
      <x:c r="F18" s="17" t="str">
        <x:v>“The majority of text is created using continuous speech recognition…CSR is very accurate.”【58†L79-L82】</x:v>
      </x:c>
      <x:c r="G18" s="17" t="str">
        <x:v>*Age of Spiritual Machines* (1999)</x:v>
      </x:c>
      <x:c r="H18" s="17" t="str">
        <x:v>2009</x:v>
      </x:c>
      <x:c r="I18" s="17" t="str">
        <x:v>AI/NLP</x:v>
      </x:c>
      <x:c r="J18" s="17" t="str">
        <x:v>Not Achieved</x:v>
      </x:c>
      <x:c r="K18" s="17" t="str">
        <x:v>–</x:v>
      </x:c>
      <x:c r="L18" s="17" t="str">
        <x:v>–</x:v>
      </x:c>
      <x:c r="M18" s="17" t="str">
        <x:v>This failed by 2010; keyboards remained primary text input【58†L79-L82】.</x:v>
      </x:c>
      <x:c r="N18" s="17" t="str">
        <x:v>High</x:v>
      </x:c>
      <x:c r="O18" s="17" t="str"/>
      <x:c r="P18" s="17"/>
      <x:c r="Q18" s="17"/>
      <x:c r="R18" s="17" t="str">
        <x:v>| 013 | “The majority of text is created using continuous speech recognition…CSR is very accurate.”【58†L79-L82】 | Most text will be created via dictation by 2010.                     | *Age of Spiritual Machines* (1999)                        | 2009             | AI/NLP             | Not Achieved      | –            | –           | This failed by 2010; keyboards remained primary text input【58†L79-L82】.        | High  |            |</x:v>
      </x:c>
    </x:row>
    <x:row r="19" ht="58" customHeight="1">
      <x:c r="A19" s="17" t="str">
        <x:v>AUD-014</x:v>
      </x:c>
      <x:c r="B19" s="17" t="str">
        <x:v>candidate</x:v>
      </x:c>
      <x:c r="C19" s="17" t="str">
        <x:v>Ray Kurzweil Predictions Audit.txt</x:v>
      </x:c>
      <x:c r="D19" s="17" t="n">
        <x:v>27</x:v>
      </x:c>
      <x:c r="E19" s="17" t="str">
        <x:v>Voice-based assistants will handle routine tasks by 2010.</x:v>
      </x:c>
      <x:c r="F19" s="17" t="str">
        <x:v>“Language user interfaces combine [speech recognition] and understanding… for routine matters.”【58†L84-L89】</x:v>
      </x:c>
      <x:c r="G19" s="17" t="str">
        <x:v>*Age of Spiritual Machines* (1999)</x:v>
      </x:c>
      <x:c r="H19" s="17" t="str">
        <x:v>2009</x:v>
      </x:c>
      <x:c r="I19" s="17" t="str">
        <x:v>AI/NLP</x:v>
      </x:c>
      <x:c r="J19" s="17" t="str">
        <x:v>Partially Achieved</x:v>
      </x:c>
      <x:c r="K19" s="17" t="str">
        <x:v>2011</x:v>
      </x:c>
      <x:c r="L19" s="17" t="str">
        <x:v>+2</x:v>
      </x:c>
      <x:c r="M19" s="17" t="str">
        <x:v>Early assistants (e.g. Siri, released 2011) appear just after target【58†L84-L89】.</x:v>
      </x:c>
      <x:c r="N19" s="17" t="str">
        <x:v>Medium</x:v>
      </x:c>
      <x:c r="O19" s="17" t="str"/>
      <x:c r="P19" s="17"/>
      <x:c r="Q19" s="17"/>
      <x:c r="R19" s="17" t="str">
        <x:v>| 014 | “Language user interfaces combine [speech recognition] and understanding… for routine matters.”【58†L84-L89】 | Voice-based assistants will handle routine tasks by 2010.           | *Age of Spiritual Machines* (1999)                        | 2009             | AI/NLP             | Partially Achieved | 2011          | +2          | Early assistants (e.g. Siri, released 2011) appear just after target【58†L84-L89】. | Medium |            |</x:v>
      </x:c>
    </x:row>
    <x:row r="20" ht="58" customHeight="1">
      <x:c r="A20" s="17" t="str">
        <x:v>AUD-015</x:v>
      </x:c>
      <x:c r="B20" s="17" t="str">
        <x:v>candidate</x:v>
      </x:c>
      <x:c r="C20" s="17" t="str">
        <x:v>Ray Kurzweil Predictions Audit.txt</x:v>
      </x:c>
      <x:c r="D20" s="17" t="n">
        <x:v>28</x:v>
      </x:c>
      <x:c r="E20" s="17" t="str">
        <x:v>Paper will be largely replaced by high-quality digital displays by 2010.</x:v>
      </x:c>
      <x:c r="F20" s="17" t="str">
        <x:v>“Computer displays have all the display qualities of paper…read on displays the size of small books.”【58†L91-L94】</x:v>
      </x:c>
      <x:c r="G20" s="17" t="str">
        <x:v>*Age of Spiritual Machines* (1999)</x:v>
      </x:c>
      <x:c r="H20" s="17" t="str">
        <x:v>2009</x:v>
      </x:c>
      <x:c r="I20" s="17" t="str">
        <x:v>Media/Digital</x:v>
      </x:c>
      <x:c r="J20" s="17" t="str">
        <x:v>Partially Achieved</x:v>
      </x:c>
      <x:c r="K20" s="17" t="str">
        <x:v>2010</x:v>
      </x:c>
      <x:c r="L20" s="17" t="str">
        <x:v>+1</x:v>
      </x:c>
      <x:c r="M20" s="17" t="str">
        <x:v>E-readers (Kindle 2007) and tablets achieve this, though books/papers still exist【58†L91-L94】.</x:v>
      </x:c>
      <x:c r="N20" s="17" t="str">
        <x:v>Medium</x:v>
      </x:c>
      <x:c r="O20" s="17" t="str"/>
      <x:c r="P20" s="17"/>
      <x:c r="Q20" s="17"/>
      <x:c r="R20" s="17" t="str">
        <x:v>| 015 | “Computer displays have all the display qualities of paper…read on displays the size of small books.”【58†L91-L94】 | Paper will be largely replaced by high-quality digital displays by 2010. | *Age of Spiritual Machines* (1999)                        | 2009             | Media/Digital      | Partially Achieved | 2010          | +1          | E-readers (Kindle 2007) and tablets achieve this, though books/papers still exist【58†L91-L94】. | Medium |            |</x:v>
      </x:c>
    </x:row>
    <x:row r="21" ht="58" customHeight="1">
      <x:c r="A21" s="17" t="str">
        <x:v>AUD-016</x:v>
      </x:c>
      <x:c r="B21" s="17" t="str">
        <x:v>candidate</x:v>
      </x:c>
      <x:c r="C21" s="17" t="str">
        <x:v>Ray Kurzweil Predictions Audit.txt</x:v>
      </x:c>
      <x:c r="D21" s="17" t="n">
        <x:v>29</x:v>
      </x:c>
      <x:c r="E21" s="17" t="str">
        <x:v>Augmented-reality displays (e.g. smart glasses) will exist by 2015.</x:v>
      </x:c>
      <x:c r="F21" s="17" t="str">
        <x:v>“Displays will be built into our eyeglasses and contact lenses and images projected onto our retinas.”【44†L7419-L7420】</x:v>
      </x:c>
      <x:c r="G21" s="17" t="str">
        <x:v>*The Singularity Is Near* (2005)</x:v>
      </x:c>
      <x:c r="H21" s="17" t="str">
        <x:v>2010</x:v>
      </x:c>
      <x:c r="I21" s="17" t="str">
        <x:v>AR/VR</x:v>
      </x:c>
      <x:c r="J21" s="17" t="str">
        <x:v>Partially Achieved</x:v>
      </x:c>
      <x:c r="K21" s="17" t="str">
        <x:v>2013</x:v>
      </x:c>
      <x:c r="L21" s="17" t="str">
        <x:v>+3</x:v>
      </x:c>
      <x:c r="M21" s="17" t="str">
        <x:v>Google Glass (2013) was an early example, though not yet ubiquitous; prediction was “essentially correct”【44†L7419-L7420】.</x:v>
      </x:c>
      <x:c r="N21" s="17" t="str">
        <x:v>Medium</x:v>
      </x:c>
      <x:c r="O21" s="17" t="str"/>
      <x:c r="P21" s="17"/>
      <x:c r="Q21" s="17"/>
      <x:c r="R21" s="17" t="str">
        <x:v>| 016 | “Displays will be built into our eyeglasses and contact lenses and images projected onto our retinas.”【44†L7419-L7420】 | Augmented-reality displays (e.g. smart glasses) will exist by 2015. | *The Singularity Is Near* (2005)                         | 2010             | AR/VR              | Partially Achieved | 2013          | +3          | Google Glass (2013) was an early example, though not yet ubiquitous; prediction was “essentially correct”【44†L7419-L7420】. | Medium |            |</x:v>
      </x:c>
    </x:row>
    <x:row r="22" ht="58" customHeight="1">
      <x:c r="A22" s="17" t="str">
        <x:v>AUD-017</x:v>
      </x:c>
      <x:c r="B22" s="17" t="str">
        <x:v>candidate</x:v>
      </x:c>
      <x:c r="C22" s="17" t="str">
        <x:v>Ray Kurzweil Predictions Audit.txt</x:v>
      </x:c>
      <x:c r="D22" s="17" t="n">
        <x:v>30</x:v>
      </x:c>
      <x:c r="E22" s="17" t="str">
        <x:v>Wearable projectors will create 3D spatial audio by 2010.</x:v>
      </x:c>
      <x:c r="F22" s="17" t="str">
        <x:v>“Similar tiny devices will project auditory environments.”【44†L7439-L7440】</x:v>
      </x:c>
      <x:c r="G22" s="17" t="str">
        <x:v>*The Singularity Is Near* (2005)</x:v>
      </x:c>
      <x:c r="H22" s="17" t="str">
        <x:v>2010</x:v>
      </x:c>
      <x:c r="I22" s="17" t="str">
        <x:v>AR/VR</x:v>
      </x:c>
      <x:c r="J22" s="17" t="str">
        <x:v>Achieved</x:v>
      </x:c>
      <x:c r="K22" s="17" t="str">
        <x:v>2010</x:v>
      </x:c>
      <x:c r="L22" s="17" t="str">
        <x:v>0</x:v>
      </x:c>
      <x:c r="M22" s="17" t="str">
        <x:v>Devices like the LRAD auditory projector exist; bone-conduction and ultrasonic audio tech came into use around 2010【44†L7439-L7440】.</x:v>
      </x:c>
      <x:c r="N22" s="17" t="str">
        <x:v>Medium</x:v>
      </x:c>
      <x:c r="O22" s="17" t="str"/>
      <x:c r="P22" s="17"/>
      <x:c r="Q22" s="17"/>
      <x:c r="R22" s="17" t="str">
        <x:v>| 017 | “Similar tiny devices will project auditory environments.”【44†L7439-L7440】   | Wearable projectors will create 3D spatial audio by 2010.         | *The Singularity Is Near* (2005)                         | 2010             | AR/VR              | Achieved          | 2010          | 0           | Devices like the LRAD auditory projector exist; bone-conduction and ultrasonic audio tech came into use around 2010【44†L7439-L7440】. | Medium |            |</x:v>
      </x:c>
    </x:row>
    <x:row r="23" ht="58" customHeight="1">
      <x:c r="A23" s="17" t="str">
        <x:v>AUD-018</x:v>
      </x:c>
      <x:c r="B23" s="17" t="str">
        <x:v>candidate</x:v>
      </x:c>
      <x:c r="C23" s="17" t="str">
        <x:v>Ray Kurzweil Predictions Audit.txt</x:v>
      </x:c>
      <x:c r="D23" s="17" t="n">
        <x:v>31</x:v>
      </x:c>
      <x:c r="E23" s="17" t="str">
        <x:v>Full VR systems (high-res, immersion) will be available by 2010.</x:v>
      </x:c>
      <x:c r="F23" s="17" t="str">
        <x:v>“These resources will provide high-resolution, full-immersion, visual-auditory virtual reality at any time.”【44†L7468-L7470】</x:v>
      </x:c>
      <x:c r="G23" s="17" t="str">
        <x:v>*The Singularity Is Near* (2005)</x:v>
      </x:c>
      <x:c r="H23" s="17" t="str">
        <x:v>2010</x:v>
      </x:c>
      <x:c r="I23" s="17" t="str">
        <x:v>AR/VR</x:v>
      </x:c>
      <x:c r="J23" s="17" t="str">
        <x:v>Partially Achieved</x:v>
      </x:c>
      <x:c r="K23" s="17" t="str">
        <x:v>2016</x:v>
      </x:c>
      <x:c r="L23" s="17" t="str">
        <x:v>+6</x:v>
      </x:c>
      <x:c r="M23" s="17" t="str">
        <x:v>VR headsets (Oculus Rift, HTC Vive) reached consumer market by 2016 (Kurzweil called it “essentially correct”【44†L7468-L7470】).</x:v>
      </x:c>
      <x:c r="N23" s="17" t="str">
        <x:v>Medium</x:v>
      </x:c>
      <x:c r="O23" s="17" t="str"/>
      <x:c r="P23" s="17"/>
      <x:c r="Q23" s="17"/>
      <x:c r="R23" s="17" t="str">
        <x:v>| 018 | “These resources will provide high-resolution, full-immersion, visual-auditory virtual reality at any time.”【44†L7468-L7470】 | Full VR systems (high-res, immersion) will be available by 2010.   | *The Singularity Is Near* (2005)                         | 2010             | AR/VR              | Partially Achieved | 2016          | +6          | VR headsets (Oculus Rift, HTC Vive) reached consumer market by 2016 (Kurzweil called it “essentially correct”【44†L7468-L7470】). | Medium |            |</x:v>
      </x:c>
    </x:row>
    <x:row r="24" ht="58" customHeight="1">
      <x:c r="A24" s="17" t="str">
        <x:v>AUD-019</x:v>
      </x:c>
      <x:c r="B24" s="17" t="str">
        <x:v>candidate</x:v>
      </x:c>
      <x:c r="C24" s="17" t="str">
        <x:v>Ray Kurzweil Predictions Audit.txt</x:v>
      </x:c>
      <x:c r="D24" s="17" t="n">
        <x:v>32</x:v>
      </x:c>
      <x:c r="E24" s="17" t="str">
        <x:v>Augmented reality overlays (e.g. AR apps) will be common by 2010.</x:v>
      </x:c>
      <x:c r="F24" s="17" t="str">
        <x:v>“We will also have augmented reality with displays overlaying the real world…”【44†L7452-L7454】</x:v>
      </x:c>
      <x:c r="G24" s="17" t="str">
        <x:v>*The Singularity Is Near* (2005)</x:v>
      </x:c>
      <x:c r="H24" s="17" t="str">
        <x:v>2010</x:v>
      </x:c>
      <x:c r="I24" s="17" t="str">
        <x:v>AR/VR</x:v>
      </x:c>
      <x:c r="J24" s="17" t="str">
        <x:v>Partially Achieved</x:v>
      </x:c>
      <x:c r="K24" s="17" t="str">
        <x:v>2016</x:v>
      </x:c>
      <x:c r="L24" s="17" t="str">
        <x:v>+6</x:v>
      </x:c>
      <x:c r="M24" s="17" t="str">
        <x:v>AR apps (e.g. early Pokémon Go 2016) and headsets began to appear mid-2010s【44†L7452-L7454】.</x:v>
      </x:c>
      <x:c r="N24" s="17" t="str">
        <x:v>Medium</x:v>
      </x:c>
      <x:c r="O24" s="17" t="str"/>
      <x:c r="P24" s="17"/>
      <x:c r="Q24" s="17"/>
      <x:c r="R24" s="17" t="str">
        <x:v>| 019 | “We will also have augmented reality with displays overlaying the real world…”【44†L7452-L7454】 | Augmented reality overlays (e.g. AR apps) will be common by 2010. | *The Singularity Is Near* (2005)                         | 2010             | AR/VR              | Partially Achieved | 2016          | +6          | AR apps (e.g. early Pokémon Go 2016) and headsets began to appear mid-2010s【44†L7452-L7454】. | Medium |            |</x:v>
      </x:c>
    </x:row>
    <x:row r="25" ht="58" customHeight="1">
      <x:c r="A25" s="17" t="str">
        <x:v>AUD-020</x:v>
      </x:c>
      <x:c r="B25" s="17" t="str">
        <x:v>candidate</x:v>
      </x:c>
      <x:c r="C25" s="17" t="str">
        <x:v>Ray Kurzweil Predictions Audit.txt</x:v>
      </x:c>
      <x:c r="D25" s="17" t="n">
        <x:v>33</x:v>
      </x:c>
      <x:c r="E25" s="17" t="str">
        <x:v>Warfare will be dominated by remote weapons/drones by 2010.</x:v>
      </x:c>
      <x:c r="F25" s="17" t="str">
        <x:v>“Humans are generally far removed from the scene of battle.”【60†L7-L15】</x:v>
      </x:c>
      <x:c r="G25" s="17" t="str">
        <x:v>*The Age of Spiritual Machines* (1999) [in Warfare section]</x:v>
      </x:c>
      <x:c r="H25" s="17" t="str">
        <x:v>2009</x:v>
      </x:c>
      <x:c r="I25" s="17" t="str">
        <x:v>Military/Robotics</x:v>
      </x:c>
      <x:c r="J25" s="17" t="str">
        <x:v>Achieved</x:v>
      </x:c>
      <x:c r="K25" s="17" t="str">
        <x:v>2009</x:v>
      </x:c>
      <x:c r="L25" s="17" t="str">
        <x:v>0</x:v>
      </x:c>
      <x:c r="M25" s="17" t="str">
        <x:v>UAVs and drones are widely used in 21st-century warfare, validating this prediction【60†L7-L15】.</x:v>
      </x:c>
      <x:c r="N25" s="17" t="str">
        <x:v>High</x:v>
      </x:c>
      <x:c r="O25" s="17" t="str"/>
      <x:c r="P25" s="17"/>
      <x:c r="Q25" s="17"/>
      <x:c r="R25" s="17" t="str">
        <x:v>| 020 | “Humans are generally far removed from the scene of battle.”【60†L7-L15】       | Warfare will be dominated by remote weapons/drones by 2010.       | *The Age of Spiritual Machines* (1999) [in Warfare section] | 2009             | Military/Robotics  | Achieved          | 2009          | 0           | UAVs and drones are widely used in 21st-century warfare, validating this prediction【60†L7-L15】. | High  |            |</x:v>
      </x:c>
    </x:row>
    <x:row r="26" ht="58" customHeight="1">
      <x:c r="A26" s="17" t="str">
        <x:v>AUD-021</x:v>
      </x:c>
      <x:c r="B26" s="17" t="str">
        <x:v>candidate</x:v>
      </x:c>
      <x:c r="C26" s="17" t="str">
        <x:v>Ray Kurzweil Predictions Audit.txt</x:v>
      </x:c>
      <x:c r="D26" s="17" t="n">
        <x:v>34</x:v>
      </x:c>
      <x:c r="E26" s="17" t="str">
        <x:v>War will be carried out by autonomous drones by 2010.</x:v>
      </x:c>
      <x:c r="F26" s="17" t="str">
        <x:v>“Warfare is dominated by unmanned intelligent flying devices.”【60†L19-L23】</x:v>
      </x:c>
      <x:c r="G26" s="17" t="str">
        <x:v>*The Age of Spiritual Machines* (1999) [Warfare]</x:v>
      </x:c>
      <x:c r="H26" s="17" t="str">
        <x:v>2009</x:v>
      </x:c>
      <x:c r="I26" s="17" t="str">
        <x:v>Military/Robotics</x:v>
      </x:c>
      <x:c r="J26" s="17" t="str">
        <x:v>Achieved</x:v>
      </x:c>
      <x:c r="K26" s="17" t="str">
        <x:v>2009</x:v>
      </x:c>
      <x:c r="L26" s="17" t="str">
        <x:v>0</x:v>
      </x:c>
      <x:c r="M26" s="17" t="str">
        <x:v>Predators/Reapers and similar UAVs indeed dominate modern conflict zones【60†L19-L23】.</x:v>
      </x:c>
      <x:c r="N26" s="17" t="str">
        <x:v>High</x:v>
      </x:c>
      <x:c r="O26" s="17" t="str"/>
      <x:c r="P26" s="17"/>
      <x:c r="Q26" s="17"/>
      <x:c r="R26" s="17" t="str">
        <x:v>| 021 | “Warfare is dominated by unmanned intelligent flying devices.”【60†L19-L23】     | War will be carried out by autonomous drones by 2010.            | *The Age of Spiritual Machines* (1999) [Warfare]         | 2009             | Military/Robotics  | Achieved          | 2009          | 0           | Predators/Reapers and similar UAVs indeed dominate modern conflict zones【60†L19-L23】. | High  |            |</x:v>
      </x:c>
    </x:row>
    <x:row r="27" ht="58" customHeight="1">
      <x:c r="A27" s="17" t="str">
        <x:v>AUD-022</x:v>
      </x:c>
      <x:c r="B27" s="17" t="str">
        <x:v>candidate</x:v>
      </x:c>
      <x:c r="C27" s="17" t="str">
        <x:v>Ray Kurzweil Predictions Audit.txt</x:v>
      </x:c>
      <x:c r="D27" s="17" t="n">
        <x:v>35</x:v>
      </x:c>
      <x:c r="E27" s="17" t="str">
        <x:v>Solar energy will meet global demand by ~2028.</x:v>
      </x:c>
      <x:c r="F27" s="17" t="str">
        <x:v>“Solar power will scale up to produce all of humanity’s energy needs in 20 years.”【17†L703-L707】</x:v>
      </x:c>
      <x:c r="G27" s="17" t="str">
        <x:v>National Academy panel (2008)【17†L703-L707】</x:v>
      </x:c>
      <x:c r="H27" s="17" t="str">
        <x:v>2028</x:v>
      </x:c>
      <x:c r="I27" s="17" t="str">
        <x:v>Energy</x:v>
      </x:c>
      <x:c r="J27" s="17" t="str">
        <x:v>Partially Achieved</x:v>
      </x:c>
      <x:c r="K27" s="17" t="str">
        <x:v>2020</x:v>
      </x:c>
      <x:c r="L27" s="17" t="str">
        <x:v>−8</x:v>
      </x:c>
      <x:c r="M27" s="17" t="str">
        <x:v>Solar costs fell dramatically (now cheapest source in 2020s)【54†L150-L154】【17†L703-L707】, but capacity is still growing (ongoing).</x:v>
      </x:c>
      <x:c r="N27" s="17" t="str">
        <x:v>High</x:v>
      </x:c>
      <x:c r="O27" s="17" t="str"/>
      <x:c r="P27" s="17"/>
      <x:c r="Q27" s="17"/>
      <x:c r="R27" s="17" t="str">
        <x:v>| 022 | “Solar power will scale up to produce all of humanity’s energy needs in 20 years.”【17†L703-L707】 | Solar energy will meet global demand by ~2028.                   | National Academy panel (2008)【17†L703-L707】           | 2028            | Energy             | Partially Achieved | 2020          | −8          | Solar costs fell dramatically (now cheapest source in 2020s)【54†L150-L154】【17†L703-L707】, but capacity is still growing (ongoing). | High  |            |</x:v>
      </x:c>
    </x:row>
    <x:row r="28" ht="58" customHeight="1">
      <x:c r="A28" s="17" t="str">
        <x:v>AUD-023</x:v>
      </x:c>
      <x:c r="B28" s="17" t="str">
        <x:v>candidate</x:v>
      </x:c>
      <x:c r="C28" s="17" t="str">
        <x:v>Ray Kurzweil Predictions Audit.txt</x:v>
      </x:c>
      <x:c r="D28" s="17" t="n">
        <x:v>36</x:v>
      </x:c>
      <x:c r="E28" s="17" t="str">
        <x:v>By ~2045 AI will exceed human intelligence (Singularity).</x:v>
      </x:c>
      <x:c r="F28" s="17" t="str">
        <x:v>*(unquoted)* – Artificial intelligence surpasses human intelligence, Singularity by 2045.</x:v>
      </x:c>
      <x:c r="G28" s="17" t="str">
        <x:v>*The Singularity Is Near* (2005) and *Nearer* (2024)【54†L189-L197】</x:v>
      </x:c>
      <x:c r="H28" s="17" t="str">
        <x:v>2045</x:v>
      </x:c>
      <x:c r="I28" s="17" t="str">
        <x:v>AI</x:v>
      </x:c>
      <x:c r="J28" s="17" t="str">
        <x:v>Future/Speculative</x:v>
      </x:c>
      <x:c r="K28" s="17" t="str">
        <x:v>–</x:v>
      </x:c>
      <x:c r="L28" s="17" t="str">
        <x:v>N/A</x:v>
      </x:c>
      <x:c r="M28" s="17" t="str">
        <x:v>Kurzweil’s signature claim; projected merging of human/AI by 2045【54†L189-L197】.</x:v>
      </x:c>
      <x:c r="N28" s="17" t="str">
        <x:v>Medium</x:v>
      </x:c>
      <x:c r="O28" s="17" t="str">
        <x:v>“Singularity”</x:v>
      </x:c>
      <x:c r="P28" s="17"/>
      <x:c r="Q28" s="17"/>
      <x:c r="R28" s="17" t="str">
        <x:v>| 023 | *(unquoted)* – Artificial intelligence surpasses human intelligence, Singularity by 2045. | By ~2045 AI will exceed human intelligence (Singularity).        | *The Singularity Is Near* (2005) and *Nearer* (2024)【54†L189-L197】 | 2045            | AI                | Future/Speculative | –             | N/A         | Kurzweil’s signature claim; projected merging of human/AI by 2045【54†L189-L197】.     | Medium | “Singularity” |</x:v>
      </x:c>
    </x:row>
    <x:row r="29" ht="58" customHeight="1">
      <x:c r="A29" s="17" t="str">
        <x:v>AUD-024</x:v>
      </x:c>
      <x:c r="B29" s="17" t="str">
        <x:v>candidate</x:v>
      </x:c>
      <x:c r="C29" s="17" t="str">
        <x:v>Ray Kurzweil Predictions Audit.txt</x:v>
      </x:c>
      <x:c r="D29" s="17" t="n">
        <x:v>37</x:v>
      </x:c>
      <x:c r="E29" s="17" t="str">
        <x:v>A computer will pass an unrestricted Turing Test by 2029.</x:v>
      </x:c>
      <x:c r="F29" s="17" t="str">
        <x:v>*(unquoted)* – Computer will pass the Turing test by 2029.</x:v>
      </x:c>
      <x:c r="G29" s="17" t="str">
        <x:v>Multiple sources (ASM 1999)【23†L73-L77】</x:v>
      </x:c>
      <x:c r="H29" s="17" t="str">
        <x:v>2029</x:v>
      </x:c>
      <x:c r="I29" s="17" t="str">
        <x:v>AI</x:v>
      </x:c>
      <x:c r="J29" s="17" t="str">
        <x:v>Ongoing/Unknown</x:v>
      </x:c>
      <x:c r="K29" s="17" t="str">
        <x:v>–</x:v>
      </x:c>
      <x:c r="L29" s="17" t="str">
        <x:v>N/A</x:v>
      </x:c>
      <x:c r="M29" s="17" t="str">
        <x:v>This is Kurzweil’s long-term AI goal (bet with Pentland); not yet realized【23†L73-L77】.</x:v>
      </x:c>
      <x:c r="N29" s="17" t="str">
        <x:v>High</x:v>
      </x:c>
      <x:c r="O29" s="17" t="str"/>
      <x:c r="P29" s="17"/>
      <x:c r="Q29" s="17"/>
      <x:c r="R29" s="17" t="str">
        <x:v>| 024 | *(unquoted)* – Computer will pass the Turing test by 2029.                  | A computer will pass an unrestricted Turing Test by 2029.       | Multiple sources (ASM 1999)【23†L73-L77】             | 2029            | AI                | Ongoing/Unknown   | –             | N/A         | This is Kurzweil’s long-term AI goal (bet with Pentland); not yet realized【23†L73-L77】.  | High  |            |</x:v>
      </x:c>
    </x:row>
    <x:row r="30" ht="58" customHeight="1">
      <x:c r="A30" s="17" t="str">
        <x:v>AUD-025</x:v>
      </x:c>
      <x:c r="B30" s="17" t="str">
        <x:v>candidate</x:v>
      </x:c>
      <x:c r="C30" s="17" t="str">
        <x:v>Ray Kurzweil Predictions Audit.txt</x:v>
      </x:c>
      <x:c r="D30" s="17" t="n">
        <x:v>38</x:v>
      </x:c>
      <x:c r="E30" s="17" t="str">
        <x:v>Nanobots will monitor/repair our bodies (e.g. fight disease) by 2019.</x:v>
      </x:c>
      <x:c r="F30" s="17" t="str">
        <x:v>*(unquoted)* – Nanorobots will circulate in our blood, improving health by 2019.</x:v>
      </x:c>
      <x:c r="G30" s="17" t="str">
        <x:v>*The Age of Spiritual Machines* (1999)</x:v>
      </x:c>
      <x:c r="H30" s="17" t="str">
        <x:v>2019</x:v>
      </x:c>
      <x:c r="I30" s="17" t="str">
        <x:v>Nanotech/Health</x:v>
      </x:c>
      <x:c r="J30" s="17" t="str">
        <x:v>Not Achieved</x:v>
      </x:c>
      <x:c r="K30" s="17" t="str">
        <x:v>–</x:v>
      </x:c>
      <x:c r="L30" s="17" t="str">
        <x:v>N/A</x:v>
      </x:c>
      <x:c r="M30" s="17" t="str">
        <x:v>No medical nanobots exist by 2019; this prediction has not come true as of 2026【17†L692-L696】.</x:v>
      </x:c>
      <x:c r="N30" s="17" t="str">
        <x:v>Low</x:v>
      </x:c>
      <x:c r="O30" s="17" t="str"/>
      <x:c r="P30" s="17"/>
      <x:c r="Q30" s="17"/>
      <x:c r="R30" s="17" t="str">
        <x:v>| 025 | *(unquoted)* – Nanorobots will circulate in our blood, improving health by 2019. | Nanobots will monitor/repair our bodies (e.g. fight disease) by 2019. | *The Age of Spiritual Machines* (1999)              | 2019            | Nanotech/Health    | Not Achieved      | –             | N/A         | No medical nanobots exist by 2019; this prediction has not come true as of 2026【17†L692-L696】. | Low   |            |</x:v>
      </x:c>
    </x:row>
    <x:row r="31" ht="58" customHeight="1">
      <x:c r="A31" s="17" t="str">
        <x:v>AUD-026</x:v>
      </x:c>
      <x:c r="B31" s="17" t="str">
        <x:v>candidate</x:v>
      </x:c>
      <x:c r="C31" s="17" t="str">
        <x:v>Ray Kurzweil Predictions Audit.txt</x:v>
      </x:c>
      <x:c r="D31" s="17" t="n">
        <x:v>39</x:v>
      </x:c>
      <x:c r="E31" s="17" t="str">
        <x:v>A consumer PC ($1000) will have human-brain-level computing by 2020.</x:v>
      </x:c>
      <x:c r="F31" s="17" t="str">
        <x:v>*(unquoted)* – A $1,000 computer will match human-brain computation.</x:v>
      </x:c>
      <x:c r="G31" s="17" t="str">
        <x:v>*The Singularity Is Near* (2005)</x:v>
      </x:c>
      <x:c r="H31" s="17" t="str">
        <x:v>2020</x:v>
      </x:c>
      <x:c r="I31" s="17" t="str">
        <x:v>Hardware/AI</x:v>
      </x:c>
      <x:c r="J31" s="17" t="str">
        <x:v>Ongoing</x:v>
      </x:c>
      <x:c r="K31" s="17" t="str">
        <x:v>–</x:v>
      </x:c>
      <x:c r="L31" s="17" t="str">
        <x:v>N/A</x:v>
      </x:c>
      <x:c r="M31" s="17" t="str">
        <x:v>Current high-end PCs are ~10^14 flops; human brain ~10^16 flops. Progress ongoing【54†L143-L150】.</x:v>
      </x:c>
      <x:c r="N31" s="17" t="str">
        <x:v>Medium</x:v>
      </x:c>
      <x:c r="O31" s="17" t="str"/>
      <x:c r="P31" s="17"/>
      <x:c r="Q31" s="17"/>
      <x:c r="R31" s="17" t="str">
        <x:v>| 026 | *(unquoted)* – A $1,000 computer will match human-brain computation.     | A consumer PC ($1000) will have human-brain-level computing by 2020. | *The Singularity Is Near* (2005)                  | 2020            | Hardware/AI        | Ongoing           | –             | N/A         | Current high-end PCs are ~10^14 flops; human brain ~10^16 flops. Progress ongoing【54†L143-L150】. | Medium |            |</x:v>
      </x:c>
    </x:row>
    <x:row r="32" ht="58" customHeight="1">
      <x:c r="A32" s="17" t="str">
        <x:v>AUD-027</x:v>
      </x:c>
      <x:c r="B32" s="17" t="str">
        <x:v>candidate</x:v>
      </x:c>
      <x:c r="C32" s="17" t="str">
        <x:v>Ray Kurzweil Predictions Audit.txt</x:v>
      </x:c>
      <x:c r="D32" s="17" t="n">
        <x:v>40</x:v>
      </x:c>
      <x:c r="E32" s="17" t="str">
        <x:v>By the 2010s, language translators and personal assistants will be common.</x:v>
      </x:c>
      <x:c r="F32" s="17" t="str">
        <x:v>*(unquoted)* – Major reliance on AI in 2020s (universal translator, assistants).</x:v>
      </x:c>
      <x:c r="G32" s="17" t="str">
        <x:v>Various interviews / *Singularity Is Near*</x:v>
      </x:c>
      <x:c r="H32" s="17" t="str">
        <x:v>2015</x:v>
      </x:c>
      <x:c r="I32" s="17" t="str">
        <x:v>AI/Communications</x:v>
      </x:c>
      <x:c r="J32" s="17" t="str">
        <x:v>Achieved</x:v>
      </x:c>
      <x:c r="K32" s="17" t="str">
        <x:v>2011–2015</x:v>
      </x:c>
      <x:c r="L32" s="17" t="str">
        <x:v>≈0–+2</x:v>
      </x:c>
      <x:c r="M32" s="17" t="str">
        <x:v>Siri (2011), Google Translate (mid-2010s), Alexa (2014) confirm widespread AI assistants.</x:v>
      </x:c>
      <x:c r="N32" s="17" t="str">
        <x:v>High</x:v>
      </x:c>
      <x:c r="O32" s="17" t="str"/>
      <x:c r="P32" s="17"/>
      <x:c r="Q32" s="17"/>
      <x:c r="R32" s="17" t="str">
        <x:v>| 027 | *(unquoted)* – Major reliance on AI in 2020s (universal translator, assistants). | By the 2010s, language translators and personal assistants will be common. | Various interviews / *Singularity Is Near*         | 2015            | AI/Communications  | Achieved          | 2011–2015     | ≈0–+2       | Siri (2011), Google Translate (mid-2010s), Alexa (2014) confirm widespread AI assistants. | High  |            |</x:v>
      </x:c>
    </x:row>
    <x:row r="33" ht="58" customHeight="1">
      <x:c r="A33" s="17" t="str">
        <x:v>AUD-028</x:v>
      </x:c>
      <x:c r="B33" s="17" t="str">
        <x:v>candidate</x:v>
      </x:c>
      <x:c r="C33" s="17" t="str">
        <x:v>Ray Kurzweil Predictions Audit.txt</x:v>
      </x:c>
      <x:c r="D33" s="17" t="n">
        <x:v>41</x:v>
      </x:c>
      <x:c r="E33" s="17" t="str">
        <x:v>Autonomous vehicles will be common by 2015.</x:v>
      </x:c>
      <x:c r="F33" s="17" t="str">
        <x:v>*(unquoted)* – Self-driving cars on roads by 2015.</x:v>
      </x:c>
      <x:c r="G33" s="17" t="str">
        <x:v>*The Age of Spiritual Machines* (1999) [ASM pg 150]</x:v>
      </x:c>
      <x:c r="H33" s="17" t="str">
        <x:v>2015</x:v>
      </x:c>
      <x:c r="I33" s="17" t="str">
        <x:v>Transport</x:v>
      </x:c>
      <x:c r="J33" s="17" t="str">
        <x:v>Partially Achieved</x:v>
      </x:c>
      <x:c r="K33" s="17" t="str">
        <x:v>2020</x:v>
      </x:c>
      <x:c r="L33" s="17" t="str">
        <x:v>+5</x:v>
      </x:c>
      <x:c r="M33" s="17" t="str">
        <x:v>AVs (Waymo, Tesla) exist, but full autonomy lagged; first robotaxis appeared ~2020s.</x:v>
      </x:c>
      <x:c r="N33" s="17" t="str">
        <x:v>Medium</x:v>
      </x:c>
      <x:c r="O33" s="17" t="str"/>
      <x:c r="P33" s="17"/>
      <x:c r="Q33" s="17"/>
      <x:c r="R33" s="17" t="str">
        <x:v>| 028 | *(unquoted)* – Self-driving cars on roads by 2015.                       | Autonomous vehicles will be common by 2015.                    | *The Age of Spiritual Machines* (1999) [ASM pg 150]  | 2015            | Transport         | Partially Achieved | 2020          | +5          | AVs (Waymo, Tesla) exist, but full autonomy lagged; first robotaxis appeared ~2020s. | Medium |            |</x:v>
      </x:c>
    </x:row>
    <x:row r="34" ht="58" customHeight="1">
      <x:c r="A34" s="17" t="str">
        <x:v>AUD-029</x:v>
      </x:c>
      <x:c r="B34" s="17" t="str">
        <x:v>candidate</x:v>
      </x:c>
      <x:c r="C34" s="17" t="str">
        <x:v>Ray Kurzweil Predictions Audit.txt</x:v>
      </x:c>
      <x:c r="D34" s="17" t="n">
        <x:v>42</x:v>
      </x:c>
      <x:c r="E34" s="17" t="str">
        <x:v>Wearable biosensors (e.g. health monitors) will be common by 2010.</x:v>
      </x:c>
      <x:c r="F34" s="17" t="str">
        <x:v>*(unquoted)* – Wearable health monitors are ubiquitous by 2010.</x:v>
      </x:c>
      <x:c r="G34" s="17" t="str">
        <x:v>*The Singularity Is Near* (2005)</x:v>
      </x:c>
      <x:c r="H34" s="17" t="str">
        <x:v>2010</x:v>
      </x:c>
      <x:c r="I34" s="17" t="str">
        <x:v>Health</x:v>
      </x:c>
      <x:c r="J34" s="17" t="str">
        <x:v>Achieved</x:v>
      </x:c>
      <x:c r="K34" s="17" t="str">
        <x:v>2010</x:v>
      </x:c>
      <x:c r="L34" s="17" t="str">
        <x:v>0</x:v>
      </x:c>
      <x:c r="M34" s="17" t="str">
        <x:v>Fitness trackers (Fitbit 2009), smart watches, continuous heart monitors became common by 2010.</x:v>
      </x:c>
      <x:c r="N34" s="17" t="str">
        <x:v>High</x:v>
      </x:c>
      <x:c r="O34" s="17" t="str"/>
      <x:c r="P34" s="17"/>
      <x:c r="Q34" s="17"/>
      <x:c r="R34" s="17" t="str">
        <x:v>| 029 | *(unquoted)* – Wearable health monitors are ubiquitous by 2010.         | Wearable biosensors (e.g. health monitors) will be common by 2010. | *The Singularity Is Near* (2005)                  | 2010            | Health             | Achieved          | 2010          | 0           | Fitness trackers (Fitbit 2009), smart watches, continuous heart monitors became common by 2010. | High  |            |</x:v>
      </x:c>
    </x:row>
    <x:row r="35" ht="58" customHeight="1">
      <x:c r="A35" s="17" t="str">
        <x:v>AUD-030</x:v>
      </x:c>
      <x:c r="B35" s="17" t="str">
        <x:v>candidate</x:v>
      </x:c>
      <x:c r="C35" s="17" t="str">
        <x:v>Ray Kurzweil Predictions Audit.txt</x:v>
      </x:c>
      <x:c r="D35" s="17" t="n">
        <x:v>43</x:v>
      </x:c>
      <x:c r="E35" s="17" t="str">
        <x:v>Medical advances will let 100-year-olds reach 120 by 2020.</x:v>
      </x:c>
      <x:c r="F35" s="17" t="str">
        <x:v>*(unquoted)* – Human life expectancy will surpass 100 (100-year-olds live to 120) by ~2020.</x:v>
      </x:c>
      <x:c r="G35" s="17" t="str">
        <x:v>*Transcendent Man* (film, 2009) &amp; interviews</x:v>
      </x:c>
      <x:c r="H35" s="17" t="str">
        <x:v>2020</x:v>
      </x:c>
      <x:c r="I35" s="17" t="str">
        <x:v>Longevity</x:v>
      </x:c>
      <x:c r="J35" s="17" t="str">
        <x:v>Not Achieved</x:v>
      </x:c>
      <x:c r="K35" s="17" t="str">
        <x:v>–</x:v>
      </x:c>
      <x:c r="L35" s="17" t="str">
        <x:v>N/A</x:v>
      </x:c>
      <x:c r="M35" s="17" t="str">
        <x:v>Life expectancy has not increased that far; no one living well beyond ~115 as of 2026.</x:v>
      </x:c>
      <x:c r="N35" s="17" t="str">
        <x:v>Low</x:v>
      </x:c>
      <x:c r="O35" s="17" t="str"/>
      <x:c r="P35" s="17"/>
      <x:c r="Q35" s="17"/>
      <x:c r="R35" s="17" t="str">
        <x:v>| 030 | *(unquoted)* – Human life expectancy will surpass 100 (100-year-olds live to 120) by ~2020. | Medical advances will let 100-year-olds reach 120 by 2020.      | *Transcendent Man* (film, 2009) &amp; interviews      | 2020            | Longevity         | Not Achieved      | –             | N/A         | Life expectancy has not increased that far; no one living well beyond ~115 as of 2026.   | Low   |            |</x:v>
      </x:c>
    </x:row>
    <x:row r="36" ht="58" customHeight="1">
      <x:c r="A36" s="17" t="str">
        <x:v>DEC-001</x:v>
      </x:c>
      <x:c r="B36" s="17" t="str">
        <x:v>candidate</x:v>
      </x:c>
      <x:c r="C36" s="17" t="str">
        <x:v>Ray Kurzweil’s Predictions: Decade-by-Decade Analysis.txt</x:v>
      </x:c>
      <x:c r="D36" s="17"/>
      <x:c r="E36" s="17" t="str">
        <x:v>Computer will beat world chess champion by 2000</x:v>
      </x:c>
      <x:c r="F36" s="17" t="str"/>
      <x:c r="G36" s="17" t="str">
        <x:v>The Age of Intelligent Machines (1990)</x:v>
      </x:c>
      <x:c r="H36" s="17" t="str">
        <x:v>2000</x:v>
      </x:c>
      <x:c r="I36" s="17" t="str">
        <x:v>AI</x:v>
      </x:c>
      <x:c r="J36" s="17" t="str">
        <x:v>Strict/On-time</x:v>
      </x:c>
      <x:c r="K36" s="17" t="str">
        <x:v>1997</x:v>
      </x:c>
      <x:c r="L36" s="17" t="str">
        <x:v>-3</x:v>
      </x:c>
      <x:c r="M36" s="17" t="str">
        <x:v>Deep Blue beats Kasparov | Achieved in 1997【70†L9-L16】</x:v>
      </x:c>
      <x:c r="N36" s="17" t="str"/>
      <x:c r="O36" s="17" t="str">
        <x:v>1990s</x:v>
      </x:c>
      <x:c r="P36" s="17" t="str">
        <x:v>【83†L643-L647】【70†L9-L16】</x:v>
      </x:c>
      <x:c r="Q36" s="17" t="str"/>
      <x:c r="R36" s="17" t="str">
        <x:v>["1990s", "The Age of Intelligent Machines (1990)", "Computer will beat world chess champion by 2000", "2000", "AI", "Deep Blue beats Kasparov", "1997", "Strict/On-time", "-3", "Achieved in 1997【70†L9-L16】", "【83†L643-L647】【70†L9-L16】"]</x:v>
      </x:c>
    </x:row>
    <x:row r="37" ht="58" customHeight="1">
      <x:c r="A37" s="17" t="str">
        <x:v>DEC-002</x:v>
      </x:c>
      <x:c r="B37" s="17" t="str">
        <x:v>candidate</x:v>
      </x:c>
      <x:c r="C37" s="17" t="str">
        <x:v>Ray Kurzweil’s Predictions: Decade-by-Decade Analysis.txt</x:v>
      </x:c>
      <x:c r="D37" s="17"/>
      <x:c r="E37" s="17" t="str">
        <x:v>Authoritarian regimes will collapse as tech spreads</x:v>
      </x:c>
      <x:c r="F37" s="17" t="str"/>
      <x:c r="G37" s="17" t="str">
        <x:v>The Age of Intelligent Machines (1990)</x:v>
      </x:c>
      <x:c r="H37" s="17" t="str">
        <x:v>1990s</x:v>
      </x:c>
      <x:c r="I37" s="17" t="str">
        <x:v>Society</x:v>
      </x:c>
      <x:c r="J37" s="17" t="str">
        <x:v>Strict/On-time</x:v>
      </x:c>
      <x:c r="K37" s="17" t="str">
        <x:v>1991</x:v>
      </x:c>
      <x:c r="L37" s="17" t="str">
        <x:v>~0</x:v>
      </x:c>
      <x:c r="M37" s="17" t="str">
        <x:v>Dissolution of USSR | USSR ended 1991【77†L568-L572】</x:v>
      </x:c>
      <x:c r="N37" s="17" t="str"/>
      <x:c r="O37" s="17" t="str">
        <x:v>1990s</x:v>
      </x:c>
      <x:c r="P37" s="17" t="str">
        <x:v>【83†L639-L647】【77†L568-L572】</x:v>
      </x:c>
      <x:c r="Q37" s="17" t="str"/>
      <x:c r="R37" s="17" t="str">
        <x:v>["1990s", "The Age of Intelligent Machines (1990)", "Authoritarian regimes will collapse as tech spreads", "1990s", "Society", "Dissolution of USSR", "1991", "Strict/On-time", "~0", "USSR ended 1991【77†L568-L572】", "【83†L639-L647】【77†L568-L572】"]</x:v>
      </x:c>
    </x:row>
    <x:row r="38" ht="58" customHeight="1">
      <x:c r="A38" s="17" t="str">
        <x:v>DEC-003</x:v>
      </x:c>
      <x:c r="B38" s="17" t="str">
        <x:v>candidate</x:v>
      </x:c>
      <x:c r="C38" s="17" t="str">
        <x:v>Ray Kurzweil’s Predictions: Decade-by-Decade Analysis.txt</x:v>
      </x:c>
      <x:c r="D38" s="17"/>
      <x:c r="E38" s="17" t="str">
        <x:v>Internet will explode in users and content</x:v>
      </x:c>
      <x:c r="F38" s="17" t="str"/>
      <x:c r="G38" s="17" t="str">
        <x:v>The Age of Intelligent Machines (1990)</x:v>
      </x:c>
      <x:c r="H38" s="17" t="str">
        <x:v>2000s</x:v>
      </x:c>
      <x:c r="I38" s="17" t="str">
        <x:v>Computing</x:v>
      </x:c>
      <x:c r="J38" s="17" t="str">
        <x:v>Strict/On-time</x:v>
      </x:c>
      <x:c r="K38" s="17" t="str">
        <x:v>2000s</x:v>
      </x:c>
      <x:c r="L38" s="17" t="str">
        <x:v>~0</x:v>
      </x:c>
      <x:c r="M38" s="17" t="str">
        <x:v>Worldwide Internet boom | Users grew massively (from 2.6 M in 1990)【85†L649-L658】</x:v>
      </x:c>
      <x:c r="N38" s="17" t="str"/>
      <x:c r="O38" s="17" t="str">
        <x:v>1990s</x:v>
      </x:c>
      <x:c r="P38" s="17" t="str">
        <x:v>【85†L649-L658】</x:v>
      </x:c>
      <x:c r="Q38" s="17" t="str"/>
      <x:c r="R38" s="17" t="str">
        <x:v>["1990s", "The Age of Intelligent Machines (1990)", "Internet will explode in users and content", "2000s", "Computing", "Worldwide Internet boom", "2000s", "Strict/On-time", "~0", "Users grew massively (from 2.6 M in 1990)【85†L649-L658】", "【85†L649-L658】"]</x:v>
      </x:c>
    </x:row>
    <x:row r="39" ht="58" customHeight="1">
      <x:c r="A39" s="17" t="str">
        <x:v>DEC-004</x:v>
      </x:c>
      <x:c r="B39" s="17" t="str">
        <x:v>candidate</x:v>
      </x:c>
      <x:c r="C39" s="17" t="str">
        <x:v>Ray Kurzweil’s Predictions: Decade-by-Decade Analysis.txt</x:v>
      </x:c>
      <x:c r="D39" s="17"/>
      <x:c r="E39" s="17" t="str">
        <x:v>Wireless access becomes dominant by early 21st century</x:v>
      </x:c>
      <x:c r="F39" s="17" t="str"/>
      <x:c r="G39" s="17" t="str">
        <x:v>The Age of Intelligent Machines (1990)</x:v>
      </x:c>
      <x:c r="H39" s="17" t="str">
        <x:v>~2010</x:v>
      </x:c>
      <x:c r="I39" s="17" t="str">
        <x:v>Computing</x:v>
      </x:c>
      <x:c r="J39" s="17" t="str">
        <x:v>Strict/On-time</x:v>
      </x:c>
      <x:c r="K39" s="17" t="str">
        <x:v>~2010</x:v>
      </x:c>
      <x:c r="L39" s="17" t="str">
        <x:v>0</x:v>
      </x:c>
      <x:c r="M39" s="17" t="str">
        <x:v>Wi-Fi and mobile broadband ubiquity | Wireless web by 2010【85†L655-L663】</x:v>
      </x:c>
      <x:c r="N39" s="17" t="str"/>
      <x:c r="O39" s="17" t="str">
        <x:v>1990s</x:v>
      </x:c>
      <x:c r="P39" s="17" t="str">
        <x:v>【85†L655-L663】</x:v>
      </x:c>
      <x:c r="Q39" s="17" t="str"/>
      <x:c r="R39" s="17" t="str">
        <x:v>["1990s", "The Age of Intelligent Machines (1990)", "Wireless access becomes dominant by early 21st century", "~2010", "Computing", "Wi-Fi and mobile broadband ubiquity", "~2010", "Strict/On-time", "0", "Wireless web by 2010【85†L655-L663】", "【85†L655-L663】"]</x:v>
      </x:c>
    </x:row>
    <x:row r="40" ht="58" customHeight="1">
      <x:c r="A40" s="17" t="str">
        <x:v>DEC-005</x:v>
      </x:c>
      <x:c r="B40" s="17" t="str">
        <x:v>candidate</x:v>
      </x:c>
      <x:c r="C40" s="17" t="str">
        <x:v>Ray Kurzweil’s Predictions: Decade-by-Decade Analysis.txt</x:v>
      </x:c>
      <x:c r="D40" s="17"/>
      <x:c r="E40" s="17" t="str">
        <x:v>Digital music distribution replaces CDs by 2000s</x:v>
      </x:c>
      <x:c r="F40" s="17" t="str"/>
      <x:c r="G40" s="17" t="str">
        <x:v>The Age of Intelligent Machines (1990)</x:v>
      </x:c>
      <x:c r="H40" s="17" t="str">
        <x:v>2000s</x:v>
      </x:c>
      <x:c r="I40" s="17" t="str">
        <x:v>Media</x:v>
      </x:c>
      <x:c r="J40" s="17" t="str">
        <x:v>Generous/Early</x:v>
      </x:c>
      <x:c r="K40" s="17" t="str">
        <x:v>2003</x:v>
      </x:c>
      <x:c r="L40" s="17" t="str">
        <x:v>-3</x:v>
      </x:c>
      <x:c r="M40" s="17" t="str">
        <x:v>MP3/iTunes era | iTunes (2003) and Napster led digital music</x:v>
      </x:c>
      <x:c r="N40" s="17" t="str"/>
      <x:c r="O40" s="17" t="str">
        <x:v>1990s</x:v>
      </x:c>
      <x:c r="P40" s="17" t="str">
        <x:v>– </x:v>
      </x:c>
      <x:c r="Q40" s="17" t="str"/>
      <x:c r="R40" s="17" t="str">
        <x:v>["1990s", "The Age of Intelligent Machines (1990)", "Digital music distribution replaces CDs by 2000s", "2000s", "Media", "MP3/iTunes era", "2003", "Generous/Early", "-3", "iTunes (2003) and Napster led digital music", "– "]</x:v>
      </x:c>
    </x:row>
    <x:row r="41" ht="58" customHeight="1">
      <x:c r="A41" s="17" t="str">
        <x:v>DEC-006</x:v>
      </x:c>
      <x:c r="B41" s="17" t="str">
        <x:v>candidate</x:v>
      </x:c>
      <x:c r="C41" s="17" t="str">
        <x:v>Ray Kurzweil’s Predictions: Decade-by-Decade Analysis.txt</x:v>
      </x:c>
      <x:c r="D41" s="17"/>
      <x:c r="E41" s="17" t="str">
        <x:v>Digital cameras displace film by 2000</x:v>
      </x:c>
      <x:c r="F41" s="17" t="str"/>
      <x:c r="G41" s="17" t="str">
        <x:v>The Age of Intelligent Machines (1990)</x:v>
      </x:c>
      <x:c r="H41" s="17" t="str">
        <x:v>2000s</x:v>
      </x:c>
      <x:c r="I41" s="17" t="str">
        <x:v>Hardware</x:v>
      </x:c>
      <x:c r="J41" s="17" t="str">
        <x:v>Generous/Late</x:v>
      </x:c>
      <x:c r="K41" s="17" t="str">
        <x:v>2003</x:v>
      </x:c>
      <x:c r="L41" s="17" t="str">
        <x:v>+3</x:v>
      </x:c>
      <x:c r="M41" s="17" t="str">
        <x:v>Digital photo majority | Digital camera sales surpassed film ~2003</x:v>
      </x:c>
      <x:c r="N41" s="17" t="str"/>
      <x:c r="O41" s="17" t="str">
        <x:v>1990s</x:v>
      </x:c>
      <x:c r="P41" s="17" t="str">
        <x:v>– </x:v>
      </x:c>
      <x:c r="Q41" s="17" t="str"/>
      <x:c r="R41" s="17" t="str">
        <x:v>["1990s", "The Age of Intelligent Machines (1990)", "Digital cameras displace film by 2000", "2000s", "Hardware", "Digital photo majority", "2003", "Generous/Late", "+3", "Digital camera sales surpassed film ~2003", "– "]</x:v>
      </x:c>
    </x:row>
    <x:row r="42" ht="58" customHeight="1">
      <x:c r="A42" s="17" t="str">
        <x:v>DEC-007</x:v>
      </x:c>
      <x:c r="B42" s="17" t="str">
        <x:v>candidate</x:v>
      </x:c>
      <x:c r="C42" s="17" t="str">
        <x:v>Ray Kurzweil’s Predictions: Decade-by-Decade Analysis.txt</x:v>
      </x:c>
      <x:c r="D42" s="17"/>
      <x:c r="E42" s="17" t="str">
        <x:v>Personal assistant AIs in daily use by 2010</x:v>
      </x:c>
      <x:c r="F42" s="17" t="str"/>
      <x:c r="G42" s="17" t="str">
        <x:v>Age of Intelligent Machines (1990)</x:v>
      </x:c>
      <x:c r="H42" s="17" t="str">
        <x:v>2010</x:v>
      </x:c>
      <x:c r="I42" s="17" t="str">
        <x:v>AI</x:v>
      </x:c>
      <x:c r="J42" s="17" t="str">
        <x:v>Strict/On-time</x:v>
      </x:c>
      <x:c r="K42" s="17" t="str">
        <x:v>2011</x:v>
      </x:c>
      <x:c r="L42" s="17" t="str">
        <x:v>+1</x:v>
      </x:c>
      <x:c r="M42" s="17" t="str">
        <x:v>Voice assistants (Siri/Alexa) | Siri launched 2011 (Apple), Alexa 2014</x:v>
      </x:c>
      <x:c r="N42" s="17" t="str"/>
      <x:c r="O42" s="17" t="str">
        <x:v>1990s</x:v>
      </x:c>
      <x:c r="P42" s="17" t="str">
        <x:v>【56†L113-L119】</x:v>
      </x:c>
      <x:c r="Q42" s="17" t="str"/>
      <x:c r="R42" s="17" t="str">
        <x:v>["1990s", "Age of Intelligent Machines (1990)", "Personal assistant AIs in daily use by 2010", "2010", "AI", "Voice assistants (Siri/Alexa)", "2011", "Strict/On-time", "+1", "Siri launched 2011 (Apple), Alexa 2014", "【56†L113-L119】"]</x:v>
      </x:c>
    </x:row>
    <x:row r="43" ht="58" customHeight="1">
      <x:c r="A43" s="17" t="str">
        <x:v>DEC-008</x:v>
      </x:c>
      <x:c r="B43" s="17" t="str">
        <x:v>candidate</x:v>
      </x:c>
      <x:c r="C43" s="17" t="str">
        <x:v>Ray Kurzweil’s Predictions: Decade-by-Decade Analysis.txt</x:v>
      </x:c>
      <x:c r="D43" s="17"/>
      <x:c r="E43" s="17" t="str">
        <x:v>Real-time language translation phones by 2000s</x:v>
      </x:c>
      <x:c r="F43" s="17" t="str"/>
      <x:c r="G43" s="17" t="str">
        <x:v>The Age of Intelligent Machines (1990)</x:v>
      </x:c>
      <x:c r="H43" s="17" t="str">
        <x:v>2000s</x:v>
      </x:c>
      <x:c r="I43" s="17" t="str">
        <x:v>AI</x:v>
      </x:c>
      <x:c r="J43" s="17" t="str">
        <x:v>Strict/On-time</x:v>
      </x:c>
      <x:c r="K43" s="17" t="str">
        <x:v>2006</x:v>
      </x:c>
      <x:c r="L43" s="17" t="str">
        <x:v>+?</x:v>
      </x:c>
      <x:c r="M43" s="17" t="str">
        <x:v>Machine translation and apps exist | Google Translate (2006), Skype Translator (2014)</x:v>
      </x:c>
      <x:c r="N43" s="17" t="str"/>
      <x:c r="O43" s="17" t="str">
        <x:v>1990s</x:v>
      </x:c>
      <x:c r="P43" s="17" t="str">
        <x:v>【56†L125-L134】</x:v>
      </x:c>
      <x:c r="Q43" s="17" t="str"/>
      <x:c r="R43" s="17" t="str">
        <x:v>["1990s", "The Age of Intelligent Machines (1990)", "Real-time language translation phones by 2000s", "2000s", "AI", "Machine translation and apps exist", "2006", "Strict/On-time", "+?", "Google Translate (2006), Skype Translator (2014)", "【56†L125-L134】"]</x:v>
      </x:c>
    </x:row>
    <x:row r="44" ht="58" customHeight="1">
      <x:c r="A44" s="17" t="str">
        <x:v>DEC-009</x:v>
      </x:c>
      <x:c r="B44" s="17" t="str">
        <x:v>candidate</x:v>
      </x:c>
      <x:c r="C44" s="17" t="str">
        <x:v>Ray Kurzweil’s Predictions: Decade-by-Decade Analysis.txt</x:v>
      </x:c>
      <x:c r="D44" s="17"/>
      <x:c r="E44" s="17" t="str">
        <x:v>Autonomous cars by 2000s</x:v>
      </x:c>
      <x:c r="F44" s="17" t="str"/>
      <x:c r="G44" s="17" t="str">
        <x:v>The Age of Intelligent Machines (1990)</x:v>
      </x:c>
      <x:c r="H44" s="17" t="str">
        <x:v>2009</x:v>
      </x:c>
      <x:c r="I44" s="17" t="str">
        <x:v>Robotics</x:v>
      </x:c>
      <x:c r="J44" s="17" t="str">
        <x:v>Late</x:v>
      </x:c>
      <x:c r="K44" s="17" t="str">
        <x:v>2020s</x:v>
      </x:c>
      <x:c r="L44" s="17" t="str">
        <x:v>+10</x:v>
      </x:c>
      <x:c r="M44" s="17" t="str">
        <x:v>Partially (self-driving trials) | Tesla/Waymo cars not common until 2020s</x:v>
      </x:c>
      <x:c r="N44" s="17" t="str"/>
      <x:c r="O44" s="17" t="str">
        <x:v>1990s</x:v>
      </x:c>
      <x:c r="P44" s="17" t="str">
        <x:v>【49†L667-L674】</x:v>
      </x:c>
      <x:c r="Q44" s="17" t="str"/>
      <x:c r="R44" s="17" t="str">
        <x:v>["1990s", "The Age of Intelligent Machines (1990)", "Autonomous cars by 2000s", "2009", "Robotics", "Partially (self-driving trials)", "2020s", "Late", "+10", "Tesla/Waymo cars not common until 2020s", "【49†L667-L674】"]</x:v>
      </x:c>
    </x:row>
    <x:row r="45" ht="58" customHeight="1">
      <x:c r="A45" s="17" t="str">
        <x:v>DEC-010</x:v>
      </x:c>
      <x:c r="B45" s="17" t="str">
        <x:v>candidate</x:v>
      </x:c>
      <x:c r="C45" s="17" t="str">
        <x:v>Ray Kurzweil’s Predictions: Decade-by-Decade Analysis.txt</x:v>
      </x:c>
      <x:c r="D45" s="17"/>
      <x:c r="E45" s="17" t="str">
        <x:v>Speech recognition widespread by 2000s</x:v>
      </x:c>
      <x:c r="F45" s="17" t="str"/>
      <x:c r="G45" s="17" t="str">
        <x:v>The Age of Intelligent Machines (1990)</x:v>
      </x:c>
      <x:c r="H45" s="17" t="str">
        <x:v>2000s</x:v>
      </x:c>
      <x:c r="I45" s="17" t="str">
        <x:v>AI</x:v>
      </x:c>
      <x:c r="J45" s="17" t="str">
        <x:v>Late</x:v>
      </x:c>
      <x:c r="K45" s="17" t="str">
        <x:v>2010s</x:v>
      </x:c>
      <x:c r="L45" s="17" t="str">
        <x:v>+~10</x:v>
      </x:c>
      <x:c r="M45" s="17" t="str">
        <x:v>Partial (speech apps in 2010s) | Voice input not mainstream until 2010s (Siri, Alexa)</x:v>
      </x:c>
      <x:c r="N45" s="17" t="str"/>
      <x:c r="O45" s="17" t="str">
        <x:v>1990s</x:v>
      </x:c>
      <x:c r="P45" s="17" t="str">
        <x:v>【49†L667-L674】</x:v>
      </x:c>
      <x:c r="Q45" s="17" t="str"/>
      <x:c r="R45" s="17" t="str">
        <x:v>["1990s", "The Age of Intelligent Machines (1990)", "Speech recognition widespread by 2000s", "2000s", "AI", "Partial (speech apps in 2010s)", "2010s", "Late", "+~10", "Voice input not mainstream until 2010s (Siri, Alexa)", "【49†L667-L674】"]</x:v>
      </x:c>
    </x:row>
    <x:row r="46" ht="58" customHeight="1">
      <x:c r="A46" s="17" t="str">
        <x:v>DEC-011</x:v>
      </x:c>
      <x:c r="B46" s="17" t="str">
        <x:v>candidate</x:v>
      </x:c>
      <x:c r="C46" s="17" t="str">
        <x:v>Ray Kurzweil’s Predictions: Decade-by-Decade Analysis.txt</x:v>
      </x:c>
      <x:c r="D46" s="17"/>
      <x:c r="E46" s="17" t="str">
        <x:v>Wearable computers common by 2009</x:v>
      </x:c>
      <x:c r="F46" s="17" t="str"/>
      <x:c r="G46" s="17" t="str">
        <x:v>Age of Spiritual Machines (1999)</x:v>
      </x:c>
      <x:c r="H46" s="17" t="str">
        <x:v>2009</x:v>
      </x:c>
      <x:c r="I46" s="17" t="str">
        <x:v>Computing</x:v>
      </x:c>
      <x:c r="J46" s="17" t="str">
        <x:v>On-time</x:v>
      </x:c>
      <x:c r="K46" s="17" t="str">
        <x:v>2010</x:v>
      </x:c>
      <x:c r="L46" s="17" t="str">
        <x:v>+1</x:v>
      </x:c>
      <x:c r="M46" s="17" t="str">
        <x:v>Smartphones and wearables by ~2010 | Early smartphones (~2007–09) match concept</x:v>
      </x:c>
      <x:c r="N46" s="17" t="str"/>
      <x:c r="O46" s="17" t="str">
        <x:v>1990s</x:v>
      </x:c>
      <x:c r="P46" s="17" t="str">
        <x:v>【56†L149-L158】</x:v>
      </x:c>
      <x:c r="Q46" s="17" t="str"/>
      <x:c r="R46" s="17" t="str">
        <x:v>["1990s", "Age of Spiritual Machines (1999)", "Wearable computers common by 2009", "2009", "Computing", "Smartphones and wearables by ~2010", "2010", "On-time", "+1", "Early smartphones (~2007–09) match concept", "【56†L149-L158】"]</x:v>
      </x:c>
    </x:row>
    <x:row r="47" ht="58" customHeight="1">
      <x:c r="A47" s="17" t="str">
        <x:v>DEC-012</x:v>
      </x:c>
      <x:c r="B47" s="17" t="str">
        <x:v>candidate</x:v>
      </x:c>
      <x:c r="C47" s="17" t="str">
        <x:v>Ray Kurzweil’s Predictions: Decade-by-Decade Analysis.txt</x:v>
      </x:c>
      <x:c r="D47" s="17"/>
      <x:c r="E47" s="17" t="str">
        <x:v>Majority of books read digitally by 2009</x:v>
      </x:c>
      <x:c r="F47" s="17" t="str"/>
      <x:c r="G47" s="17" t="str">
        <x:v>Age of Spiritual Machines (1999)</x:v>
      </x:c>
      <x:c r="H47" s="17" t="str">
        <x:v>2009</x:v>
      </x:c>
      <x:c r="I47" s="17" t="str">
        <x:v>Computing</x:v>
      </x:c>
      <x:c r="J47" s="17" t="str">
        <x:v>Partial</x:v>
      </x:c>
      <x:c r="K47" s="17" t="str">
        <x:v>2010s</x:v>
      </x:c>
      <x:c r="L47" s="17" t="str">
        <x:v>+?</x:v>
      </x:c>
      <x:c r="M47" s="17" t="str">
        <x:v>Partial (e-books gain share) | E-books (Kindle 2007) popular but paper remained significant</x:v>
      </x:c>
      <x:c r="N47" s="17" t="str"/>
      <x:c r="O47" s="17" t="str">
        <x:v>1990s</x:v>
      </x:c>
      <x:c r="P47" s="17" t="str">
        <x:v>【56†L159-L168】</x:v>
      </x:c>
      <x:c r="Q47" s="17" t="str"/>
      <x:c r="R47" s="17" t="str">
        <x:v>["1990s", "Age of Spiritual Machines (1999)", "Majority of books read digitally by 2009", "2009", "Computing", "Partial (e-books gain share)", "2010s", "Partial", "+?", "E-books (Kindle 2007) popular but paper remained significant", "【56†L159-L168】"]</x:v>
      </x:c>
    </x:row>
    <x:row r="48" ht="58" customHeight="1">
      <x:c r="A48" s="17" t="str">
        <x:v>DEC-013</x:v>
      </x:c>
      <x:c r="B48" s="17" t="str">
        <x:v>candidate</x:v>
      </x:c>
      <x:c r="C48" s="17" t="str">
        <x:v>Ray Kurzweil’s Predictions: Decade-by-Decade Analysis.txt</x:v>
      </x:c>
      <x:c r="D48" s="17"/>
      <x:c r="E48" s="17" t="str">
        <x:v>People use the Web mainly wirelessly by 2009</x:v>
      </x:c>
      <x:c r="F48" s="17" t="str"/>
      <x:c r="G48" s="17" t="str">
        <x:v>Age of Spiritual Machines (1999)</x:v>
      </x:c>
      <x:c r="H48" s="17" t="str">
        <x:v>2009</x:v>
      </x:c>
      <x:c r="I48" s="17" t="str">
        <x:v>Computing</x:v>
      </x:c>
      <x:c r="J48" s="17" t="str">
        <x:v>Strict/On-time</x:v>
      </x:c>
      <x:c r="K48" s="17" t="str">
        <x:v>2009</x:v>
      </x:c>
      <x:c r="L48" s="17" t="str">
        <x:v>0</x:v>
      </x:c>
      <x:c r="M48" s="17" t="str">
        <x:v>True (smartphone/mobile web) | Mobile internet use became widespread by 2010</x:v>
      </x:c>
      <x:c r="N48" s="17" t="str"/>
      <x:c r="O48" s="17" t="str">
        <x:v>1990s</x:v>
      </x:c>
      <x:c r="P48" s="17" t="str">
        <x:v>【56†L169-L174】</x:v>
      </x:c>
      <x:c r="Q48" s="17" t="str"/>
      <x:c r="R48" s="17" t="str">
        <x:v>["1990s", "Age of Spiritual Machines (1999)", "People use the Web mainly wirelessly by 2009", "2009", "Computing", "True (smartphone/mobile web)", "2009", "Strict/On-time", "0", "Mobile internet use became widespread by 2010", "【56†L169-L174】"]</x:v>
      </x:c>
    </x:row>
    <x:row r="49" ht="58" customHeight="1">
      <x:c r="A49" s="17" t="str">
        <x:v>DEC-014</x:v>
      </x:c>
      <x:c r="B49" s="17" t="str">
        <x:v>candidate</x:v>
      </x:c>
      <x:c r="C49" s="17" t="str">
        <x:v>Ray Kurzweil’s Predictions: Decade-by-Decade Analysis.txt</x:v>
      </x:c>
      <x:c r="D49" s="17"/>
      <x:c r="E49" s="17" t="str">
        <x:v>Self-driving cars common by 2009</x:v>
      </x:c>
      <x:c r="F49" s="17" t="str"/>
      <x:c r="G49" s="17" t="str">
        <x:v>Age of Spiritual Machines (1999)</x:v>
      </x:c>
      <x:c r="H49" s="17" t="str">
        <x:v>2009</x:v>
      </x:c>
      <x:c r="I49" s="17" t="str">
        <x:v>Robotics</x:v>
      </x:c>
      <x:c r="J49" s="17" t="str">
        <x:v>Wrong</x:v>
      </x:c>
      <x:c r="K49" s="17" t="str">
        <x:v>2020s</x:v>
      </x:c>
      <x:c r="L49" s="17" t="str">
        <x:v>+~10</x:v>
      </x:c>
      <x:c r="M49" s="17" t="str">
        <x:v>Not yet (ongoing R&amp;D) | Not common by 2009; only late 2000s projects</x:v>
      </x:c>
      <x:c r="N49" s="17" t="str"/>
      <x:c r="O49" s="17" t="str">
        <x:v>1990s</x:v>
      </x:c>
      <x:c r="P49" s="17" t="str">
        <x:v>【56†L175-L179】</x:v>
      </x:c>
      <x:c r="Q49" s="17" t="str"/>
      <x:c r="R49" s="17" t="str">
        <x:v>["1990s", "Age of Spiritual Machines (1999)", "Self-driving cars common by 2009", "2009", "Robotics", "Not yet (ongoing R&amp;D)", "2020s", "Wrong", "+~10", "Not common by 2009; only late 2000s projects", "【56†L175-L179】"]</x:v>
      </x:c>
    </x:row>
    <x:row r="50" ht="58" customHeight="1">
      <x:c r="A50" s="17" t="str">
        <x:v>DEC-015</x:v>
      </x:c>
      <x:c r="B50" s="17" t="str">
        <x:v>candidate</x:v>
      </x:c>
      <x:c r="C50" s="17" t="str">
        <x:v>Ray Kurzweil’s Predictions: Decade-by-Decade Analysis.txt</x:v>
      </x:c>
      <x:c r="D50" s="17"/>
      <x:c r="E50" s="17" t="str">
        <x:v>AR glasses with displays by 2009</x:v>
      </x:c>
      <x:c r="F50" s="17" t="str"/>
      <x:c r="G50" s="17" t="str">
        <x:v>Age of Spiritual Machines (1999)</x:v>
      </x:c>
      <x:c r="H50" s="17" t="str">
        <x:v>2009</x:v>
      </x:c>
      <x:c r="I50" s="17" t="str">
        <x:v>Hardware</x:v>
      </x:c>
      <x:c r="J50" s="17" t="str">
        <x:v>Wrong</x:v>
      </x:c>
      <x:c r="K50" s="17" t="str">
        <x:v>2010s</x:v>
      </x:c>
      <x:c r="L50" s="17" t="str">
        <x:v>+~4</x:v>
      </x:c>
      <x:c r="M50" s="17" t="str">
        <x:v>No (Google Glass 2013 prototype) | Google Glass only in 2013; not mainstream</x:v>
      </x:c>
      <x:c r="N50" s="17" t="str"/>
      <x:c r="O50" s="17" t="str">
        <x:v>1990s</x:v>
      </x:c>
      <x:c r="P50" s="17" t="str">
        <x:v>【57†L185-L193】</x:v>
      </x:c>
      <x:c r="Q50" s="17" t="str"/>
      <x:c r="R50" s="17" t="str">
        <x:v>["1990s", "Age of Spiritual Machines (1999)", "AR glasses with displays by 2009", "2009", "Hardware", "No (Google Glass 2013 prototype)", "2010s", "Wrong", "+~4", "Google Glass only in 2013; not mainstream", "【57†L185-L193】"]</x:v>
      </x:c>
    </x:row>
    <x:row r="51" ht="58" customHeight="1">
      <x:c r="A51" s="17" t="str">
        <x:v>DEC-016</x:v>
      </x:c>
      <x:c r="B51" s="17" t="str">
        <x:v>candidate</x:v>
      </x:c>
      <x:c r="C51" s="17" t="str">
        <x:v>Ray Kurzweil’s Predictions: Decade-by-Decade Analysis.txt</x:v>
      </x:c>
      <x:c r="D51" s="17"/>
      <x:c r="E51" s="17" t="str">
        <x:v>Displays in clothing by 2019</x:v>
      </x:c>
      <x:c r="F51" s="17" t="str"/>
      <x:c r="G51" s="17" t="str">
        <x:v>Age of Spiritual Machines (1999)</x:v>
      </x:c>
      <x:c r="H51" s="17" t="str">
        <x:v>2019</x:v>
      </x:c>
      <x:c r="I51" s="17" t="str">
        <x:v>Hardware</x:v>
      </x:c>
      <x:c r="J51" s="17" t="str">
        <x:v>Partial</x:v>
      </x:c>
      <x:c r="K51" s="17" t="str">
        <x:v>2010s/20s</x:v>
      </x:c>
      <x:c r="L51" s="17" t="str">
        <x:v>+?</x:v>
      </x:c>
      <x:c r="M51" s="17" t="str">
        <x:v>Partial (wearables, not embedded displays) | Wearables exist but no clothing displays standard</x:v>
      </x:c>
      <x:c r="N51" s="17" t="str"/>
      <x:c r="O51" s="17" t="str">
        <x:v>1990s</x:v>
      </x:c>
      <x:c r="P51" s="17" t="str">
        <x:v>【57†L193-L200】</x:v>
      </x:c>
      <x:c r="Q51" s="17" t="str">
        <x:v>Unquoted comma in legacy Actual Outcome field repaired for parsing; raw row preserved.</x:v>
      </x:c>
      <x:c r="R51" s="17" t="str">
        <x:v>["1990s", "Age of Spiritual Machines (1999)", "Displays in clothing by 2019", "2019", "Hardware", "Partial (wearables", "not embedded displays)", "2010s/20s", "Partial", "+?", "Wearables exist but no clothing displays standard", "【57†L193-L200】"]</x:v>
      </x:c>
    </x:row>
    <x:row r="52" ht="58" customHeight="1">
      <x:c r="A52" s="17" t="str">
        <x:v>DEC-017</x:v>
      </x:c>
      <x:c r="B52" s="17" t="str">
        <x:v>candidate</x:v>
      </x:c>
      <x:c r="C52" s="17" t="str">
        <x:v>Ray Kurzweil’s Predictions: Decade-by-Decade Analysis.txt</x:v>
      </x:c>
      <x:c r="D52" s="17"/>
      <x:c r="E52" s="17" t="str">
        <x:v>VR indistinguishable from real by 2019</x:v>
      </x:c>
      <x:c r="F52" s="17" t="str"/>
      <x:c r="G52" s="17" t="str">
        <x:v>Age of Spiritual Machines (1999)</x:v>
      </x:c>
      <x:c r="H52" s="17" t="str">
        <x:v>2019</x:v>
      </x:c>
      <x:c r="I52" s="17" t="str">
        <x:v>VR</x:v>
      </x:c>
      <x:c r="J52" s="17" t="str">
        <x:v>Wrong</x:v>
      </x:c>
      <x:c r="K52" s="17" t="str">
        <x:v>2020s</x:v>
      </x:c>
      <x:c r="L52" s="17" t="str">
        <x:v>+?</x:v>
      </x:c>
      <x:c r="M52" s="17" t="str">
        <x:v>Not yet (basic VR) | High-end VR exists but not fully immersive</x:v>
      </x:c>
      <x:c r="N52" s="17" t="str"/>
      <x:c r="O52" s="17" t="str">
        <x:v>1990s</x:v>
      </x:c>
      <x:c r="P52" s="17" t="str">
        <x:v>【57†L201-L209】</x:v>
      </x:c>
      <x:c r="Q52" s="17" t="str"/>
      <x:c r="R52" s="17" t="str">
        <x:v>["1990s", "Age of Spiritual Machines (1999)", "VR indistinguishable from real by 2019", "2019", "VR", "Not yet (basic VR)", "2020s", "Wrong", "+?", "High-end VR exists but not fully immersive", "【57†L201-L209】"]</x:v>
      </x:c>
    </x:row>
    <x:row r="53" ht="58" customHeight="1">
      <x:c r="A53" s="17" t="str">
        <x:v>DEC-018</x:v>
      </x:c>
      <x:c r="B53" s="17" t="str">
        <x:v>candidate</x:v>
      </x:c>
      <x:c r="C53" s="17" t="str">
        <x:v>Ray Kurzweil’s Predictions: Decade-by-Decade Analysis.txt</x:v>
      </x:c>
      <x:c r="D53" s="17"/>
      <x:c r="E53" s="17" t="str">
        <x:v>Cochlear implants effectively cure deafness</x:v>
      </x:c>
      <x:c r="F53" s="17" t="str"/>
      <x:c r="G53" s="17" t="str">
        <x:v>Age of Spiritual Machines (1999)</x:v>
      </x:c>
      <x:c r="H53" s="17" t="str">
        <x:v>2009</x:v>
      </x:c>
      <x:c r="I53" s="17" t="str">
        <x:v>Health</x:v>
      </x:c>
      <x:c r="J53" s="17" t="str">
        <x:v>On-time</x:v>
      </x:c>
      <x:c r="K53" s="17" t="str">
        <x:v>2000s</x:v>
      </x:c>
      <x:c r="L53" s="17" t="str">
        <x:v>0</x:v>
      </x:c>
      <x:c r="M53" s="17" t="str">
        <x:v>Yes (widely used by 2000s) | Cochlear implants have been standard since the 1990s</x:v>
      </x:c>
      <x:c r="N53" s="17" t="str"/>
      <x:c r="O53" s="17" t="str">
        <x:v>1999s</x:v>
      </x:c>
      <x:c r="P53" s="17" t="str">
        <x:v>【57†L223-L231】</x:v>
      </x:c>
      <x:c r="Q53" s="17" t="str"/>
      <x:c r="R53" s="17" t="str">
        <x:v>["1999s", "Age of Spiritual Machines (1999)", "Cochlear implants effectively cure deafness", "2009", "Health", "Yes (widely used by 2000s)", "2000s", "On-time", "0", "Cochlear implants have been standard since the 1990s", "【57†L223-L231】"]</x:v>
      </x:c>
    </x:row>
    <x:row r="54" ht="58" customHeight="1">
      <x:c r="A54" s="17" t="str">
        <x:v>DEC-019</x:v>
      </x:c>
      <x:c r="B54" s="17" t="str">
        <x:v>candidate</x:v>
      </x:c>
      <x:c r="C54" s="17" t="str">
        <x:v>Ray Kurzweil’s Predictions: Decade-by-Decade Analysis.txt</x:v>
      </x:c>
      <x:c r="D54" s="17"/>
      <x:c r="E54" s="17" t="str">
        <x:v>Natural language interaction with computers by 2019</x:v>
      </x:c>
      <x:c r="F54" s="17" t="str"/>
      <x:c r="G54" s="17" t="str">
        <x:v>Age of Spiritual Machines (1999)</x:v>
      </x:c>
      <x:c r="H54" s="17" t="str">
        <x:v>2019</x:v>
      </x:c>
      <x:c r="I54" s="17" t="str">
        <x:v>AI</x:v>
      </x:c>
      <x:c r="J54" s="17" t="str">
        <x:v>On-time</x:v>
      </x:c>
      <x:c r="K54" s="17" t="str">
        <x:v>2010s</x:v>
      </x:c>
      <x:c r="L54" s="17" t="str">
        <x:v>0</x:v>
      </x:c>
      <x:c r="M54" s="17" t="str">
        <x:v>True (Siri/Alexa) | Voice assistants became common by 2019</x:v>
      </x:c>
      <x:c r="N54" s="17" t="str"/>
      <x:c r="O54" s="17" t="str">
        <x:v>1999s</x:v>
      </x:c>
      <x:c r="P54" s="17" t="str">
        <x:v>【57†L233-L242】</x:v>
      </x:c>
      <x:c r="Q54" s="17" t="str"/>
      <x:c r="R54" s="17" t="str">
        <x:v>["1999s", "Age of Spiritual Machines (1999)", "Natural language interaction with computers by 2019", "2019", "AI", "True (Siri/Alexa)", "2010s", "On-time", "0", "Voice assistants became common by 2019", "【57†L233-L242】"]</x:v>
      </x:c>
    </x:row>
    <x:row r="55" ht="58" customHeight="1">
      <x:c r="A55" s="17" t="str">
        <x:v>DEC-020</x:v>
      </x:c>
      <x:c r="B55" s="17" t="str">
        <x:v>candidate</x:v>
      </x:c>
      <x:c r="C55" s="17" t="str">
        <x:v>Ray Kurzweil’s Predictions: Decade-by-Decade Analysis.txt</x:v>
      </x:c>
      <x:c r="D55" s="17"/>
      <x:c r="E55" s="17" t="str">
        <x:v>3D printers for home use by 2019</x:v>
      </x:c>
      <x:c r="F55" s="17" t="str"/>
      <x:c r="G55" s="17" t="str">
        <x:v>Age of Spiritual Machines (1999)</x:v>
      </x:c>
      <x:c r="H55" s="17" t="str">
        <x:v>2019</x:v>
      </x:c>
      <x:c r="I55" s="17" t="str">
        <x:v>Manufacturing</x:v>
      </x:c>
      <x:c r="J55" s="17" t="str">
        <x:v>Partial</x:v>
      </x:c>
      <x:c r="K55" s="17" t="str">
        <x:v>2010s</x:v>
      </x:c>
      <x:c r="L55" s="17" t="str">
        <x:v>0</x:v>
      </x:c>
      <x:c r="M55" s="17" t="str">
        <x:v>Partial (desktop 3D printers exist) | Hobby 3D printers popular by 2010s</x:v>
      </x:c>
      <x:c r="N55" s="17" t="str"/>
      <x:c r="O55" s="17" t="str">
        <x:v>1999s</x:v>
      </x:c>
      <x:c r="P55" s="17" t="str">
        <x:v>【57†L259-L267】</x:v>
      </x:c>
      <x:c r="Q55" s="17" t="str"/>
      <x:c r="R55" s="17" t="str">
        <x:v>["1999s", "Age of Spiritual Machines (1999)", "3D printers for home use by 2019", "2019", "Manufacturing", "Partial (desktop 3D printers exist)", "2010s", "Partial", "0", "Hobby 3D printers popular by 2010s", "【57†L259-L267】"]</x:v>
      </x:c>
    </x:row>
    <x:row r="56" ht="58" customHeight="1">
      <x:c r="A56" s="17" t="str">
        <x:v>DEC-021</x:v>
      </x:c>
      <x:c r="B56" s="17" t="str">
        <x:v>candidate</x:v>
      </x:c>
      <x:c r="C56" s="17" t="str">
        <x:v>Ray Kurzweil’s Predictions: Decade-by-Decade Analysis.txt</x:v>
      </x:c>
      <x:c r="D56" s="17"/>
      <x:c r="E56" s="17" t="str">
        <x:v>PCs embedded in environment by 2010s</x:v>
      </x:c>
      <x:c r="F56" s="17" t="str"/>
      <x:c r="G56" s="17" t="str">
        <x:v>Singularity Is Near (2005)</x:v>
      </x:c>
      <x:c r="H56" s="17" t="str">
        <x:v>2010</x:v>
      </x:c>
      <x:c r="I56" s="17" t="str">
        <x:v>Computing</x:v>
      </x:c>
      <x:c r="J56" s="17" t="str">
        <x:v>Wrong</x:v>
      </x:c>
      <x:c r="K56" s="17" t="str">
        <x:v>2010s</x:v>
      </x:c>
      <x:c r="L56" s="17" t="str">
        <x:v>+?</x:v>
      </x:c>
      <x:c r="M56" s="17" t="str">
        <x:v>No (still phones/laptops) | Computing still through phones, not full environment</x:v>
      </x:c>
      <x:c r="N56" s="17" t="str"/>
      <x:c r="O56" s="17" t="str">
        <x:v>2000s</x:v>
      </x:c>
      <x:c r="P56" s="17" t="str">
        <x:v>【58†L275-L283】</x:v>
      </x:c>
      <x:c r="Q56" s="17" t="str"/>
      <x:c r="R56" s="17" t="str">
        <x:v>["2000s", "Singularity Is Near (2005)", "PCs embedded in environment by 2010s", "2010", "Computing", "No (still phones/laptops)", "2010s", "Wrong", "+?", "Computing still through phones, not full environment", "【58†L275-L283】"]</x:v>
      </x:c>
    </x:row>
    <x:row r="57" ht="58" customHeight="1">
      <x:c r="A57" s="17" t="str">
        <x:v>DEC-022</x:v>
      </x:c>
      <x:c r="B57" s="17" t="str">
        <x:v>candidate</x:v>
      </x:c>
      <x:c r="C57" s="17" t="str">
        <x:v>Ray Kurzweil’s Predictions: Decade-by-Decade Analysis.txt</x:v>
      </x:c>
      <x:c r="D57" s="17"/>
      <x:c r="E57" s="17" t="str">
        <x:v>AI-driven cars by 2010s</x:v>
      </x:c>
      <x:c r="F57" s="17" t="str"/>
      <x:c r="G57" s="17" t="str">
        <x:v>Singularity Is Near (2005)</x:v>
      </x:c>
      <x:c r="H57" s="17" t="str">
        <x:v>2015</x:v>
      </x:c>
      <x:c r="I57" s="17" t="str">
        <x:v>Robotics</x:v>
      </x:c>
      <x:c r="J57" s="17" t="str">
        <x:v>Partial</x:v>
      </x:c>
      <x:c r="K57" s="17" t="str">
        <x:v>2020s</x:v>
      </x:c>
      <x:c r="L57" s="17" t="str">
        <x:v>+5</x:v>
      </x:c>
      <x:c r="M57" s="17" t="str">
        <x:v>Partial (Waymo trials) | First self-driving taxis began ~2020【58†L285-L294】</x:v>
      </x:c>
      <x:c r="N57" s="17" t="str"/>
      <x:c r="O57" s="17" t="str">
        <x:v>2000s</x:v>
      </x:c>
      <x:c r="P57" s="17" t="str">
        <x:v>【58†L285-L294】</x:v>
      </x:c>
      <x:c r="Q57" s="17" t="str"/>
      <x:c r="R57" s="17" t="str">
        <x:v>["2000s", "Singularity Is Near (2005)", "AI-driven cars by 2010s", "2015", "Robotics", "Partial (Waymo trials)", "2020s", "Partial", "+5", "First self-driving taxis began ~2020【58†L285-L294】", "【58†L285-L294】"]</x:v>
      </x:c>
    </x:row>
    <x:row r="58" ht="58" customHeight="1">
      <x:c r="A58" s="17" t="str">
        <x:v>DEC-023</x:v>
      </x:c>
      <x:c r="B58" s="17" t="str">
        <x:v>candidate</x:v>
      </x:c>
      <x:c r="C58" s="17" t="str">
        <x:v>Ray Kurzweil’s Predictions: Decade-by-Decade Analysis.txt</x:v>
      </x:c>
      <x:c r="D58" s="17"/>
      <x:c r="E58" s="17" t="str">
        <x:v>Bioengineered organs for transplant by 2010s</x:v>
      </x:c>
      <x:c r="F58" s="17" t="str"/>
      <x:c r="G58" s="17" t="str">
        <x:v>Singularity Is Near (2005)</x:v>
      </x:c>
      <x:c r="H58" s="17" t="str">
        <x:v>2015</x:v>
      </x:c>
      <x:c r="I58" s="17" t="str">
        <x:v>Biotech</x:v>
      </x:c>
      <x:c r="J58" s="17" t="str">
        <x:v>Partial</x:v>
      </x:c>
      <x:c r="K58" s="17" t="str">
        <x:v>2010s</x:v>
      </x:c>
      <x:c r="L58" s="17" t="str">
        <x:v>+?</x:v>
      </x:c>
      <x:c r="M58" s="17" t="str">
        <x:v>Partial (bladders, skin) | Some lab-grown tissues exist, not widespread</x:v>
      </x:c>
      <x:c r="N58" s="17" t="str"/>
      <x:c r="O58" s="17" t="str">
        <x:v>2000s</x:v>
      </x:c>
      <x:c r="P58" s="17" t="str">
        <x:v>【58†L299-L307】</x:v>
      </x:c>
      <x:c r="Q58" s="17" t="str">
        <x:v>Unquoted comma in legacy Actual Outcome field repaired for parsing; raw row preserved.</x:v>
      </x:c>
      <x:c r="R58" s="17" t="str">
        <x:v>["2000s", "Singularity Is Near (2005)", "Bioengineered organs for transplant by 2010s", "2015", "Biotech", "Partial (bladders", "skin)", "2010s", "Partial", "+?", "Some lab-grown tissues exist, not widespread", "【58†L299-L307】"]</x:v>
      </x:c>
    </x:row>
    <x:row r="59" ht="58" customHeight="1">
      <x:c r="A59" s="17" t="str">
        <x:v>DEC-024</x:v>
      </x:c>
      <x:c r="B59" s="17" t="str">
        <x:v>candidate</x:v>
      </x:c>
      <x:c r="C59" s="17" t="str">
        <x:v>Ray Kurzweil’s Predictions: Decade-by-Decade Analysis.txt</x:v>
      </x:c>
      <x:c r="D59" s="17"/>
      <x:c r="E59" s="17" t="str">
        <x:v>Nanobots in bloodstream by 2020s</x:v>
      </x:c>
      <x:c r="F59" s="17" t="str"/>
      <x:c r="G59" s="17" t="str">
        <x:v>Singularity Is Near (2005)</x:v>
      </x:c>
      <x:c r="H59" s="17" t="str">
        <x:v>2020</x:v>
      </x:c>
      <x:c r="I59" s="17" t="str">
        <x:v>Biotech</x:v>
      </x:c>
      <x:c r="J59" s="17" t="str">
        <x:v>Wrong</x:v>
      </x:c>
      <x:c r="K59" s="17" t="str">
        <x:v>n/a</x:v>
      </x:c>
      <x:c r="L59" s="17" t="str">
        <x:v>+?</x:v>
      </x:c>
      <x:c r="M59" s="17" t="str">
        <x:v>No (still R&amp;D) | Nanotech tools still experimental</x:v>
      </x:c>
      <x:c r="N59" s="17" t="str"/>
      <x:c r="O59" s="17" t="str">
        <x:v>2000s</x:v>
      </x:c>
      <x:c r="P59" s="17" t="str">
        <x:v>【58†L309-L317】</x:v>
      </x:c>
      <x:c r="Q59" s="17" t="str"/>
      <x:c r="R59" s="17" t="str">
        <x:v>["2000s", "Singularity Is Near (2005)", "Nanobots in bloodstream by 2020s", "2020", "Biotech", "No (still R&amp;D)", "n/a", "Wrong", "+?", "Nanotech tools still experimental", "【58†L309-L317】"]</x:v>
      </x:c>
    </x:row>
    <x:row r="60" ht="58" customHeight="1">
      <x:c r="A60" s="17" t="str">
        <x:v>DEC-025</x:v>
      </x:c>
      <x:c r="B60" s="17" t="str">
        <x:v>candidate</x:v>
      </x:c>
      <x:c r="C60" s="17" t="str">
        <x:v>Ray Kurzweil’s Predictions: Decade-by-Decade Analysis.txt</x:v>
      </x:c>
      <x:c r="D60" s="17"/>
      <x:c r="E60" s="17" t="str">
        <x:v>Constant wireless Internet access by 2015</x:v>
      </x:c>
      <x:c r="F60" s="17" t="str"/>
      <x:c r="G60" s="17" t="str">
        <x:v>Singularity Is Near (2005)</x:v>
      </x:c>
      <x:c r="H60" s="17" t="str">
        <x:v>2015</x:v>
      </x:c>
      <x:c r="I60" s="17" t="str">
        <x:v>Computing</x:v>
      </x:c>
      <x:c r="J60" s="17" t="str">
        <x:v>On-time</x:v>
      </x:c>
      <x:c r="K60" s="17" t="str">
        <x:v>2012</x:v>
      </x:c>
      <x:c r="L60" s="17" t="str">
        <x:v>–?</x:v>
      </x:c>
      <x:c r="M60" s="17" t="str">
        <x:v>Yes (smartphones 3G/4G) | Smartphones made internet always-on by ~2012</x:v>
      </x:c>
      <x:c r="N60" s="17" t="str"/>
      <x:c r="O60" s="17" t="str">
        <x:v>2000s</x:v>
      </x:c>
      <x:c r="P60" s="17" t="str">
        <x:v>【58†L318-L327】</x:v>
      </x:c>
      <x:c r="Q60" s="17" t="str"/>
      <x:c r="R60" s="17" t="str">
        <x:v>["2000s", "Singularity Is Near (2005)", "Constant wireless Internet access by 2015", "2015", "Computing", "Yes (smartphones 3G/4G)", "2012", "On-time", "–?", "Smartphones made internet always-on by ~2012", "【58†L318-L327】"]</x:v>
      </x:c>
    </x:row>
    <x:row r="61" ht="58" customHeight="1">
      <x:c r="A61" s="17" t="str">
        <x:v>DEC-026</x:v>
      </x:c>
      <x:c r="B61" s="17" t="str">
        <x:v>candidate</x:v>
      </x:c>
      <x:c r="C61" s="17" t="str">
        <x:v>Ray Kurzweil’s Predictions: Decade-by-Decade Analysis.txt</x:v>
      </x:c>
      <x:c r="D61" s="17"/>
      <x:c r="E61" s="17" t="str">
        <x:v>Most paper scanned &amp; searchable by 2015</x:v>
      </x:c>
      <x:c r="F61" s="17" t="str"/>
      <x:c r="G61" s="17" t="str">
        <x:v>Singularity Is Near (2005)</x:v>
      </x:c>
      <x:c r="H61" s="17" t="str">
        <x:v>2015</x:v>
      </x:c>
      <x:c r="I61" s="17" t="str">
        <x:v>Computing</x:v>
      </x:c>
      <x:c r="J61" s="17" t="str">
        <x:v>On-time</x:v>
      </x:c>
      <x:c r="K61" s="17" t="str">
        <x:v>2015</x:v>
      </x:c>
      <x:c r="L61" s="17" t="str">
        <x:v>0</x:v>
      </x:c>
      <x:c r="M61" s="17" t="str">
        <x:v>Yes (digitization widespread) | Libraries and companies digitizing archives</x:v>
      </x:c>
      <x:c r="N61" s="17" t="str"/>
      <x:c r="O61" s="17" t="str">
        <x:v>2000s</x:v>
      </x:c>
      <x:c r="P61" s="17" t="str">
        <x:v>【58†L323-L332】</x:v>
      </x:c>
      <x:c r="Q61" s="17" t="str"/>
      <x:c r="R61" s="17" t="str">
        <x:v>["2000s", "Singularity Is Near (2005)", "Most paper scanned &amp; searchable by 2015", "2015", "Computing", "Yes (digitization widespread)", "2015", "On-time", "0", "Libraries and companies digitizing archives", "【58†L323-L332】"]</x:v>
      </x:c>
    </x:row>
    <x:row r="62" ht="58" customHeight="1">
      <x:c r="A62" s="17" t="str">
        <x:v>DEC-027</x:v>
      </x:c>
      <x:c r="B62" s="17" t="str">
        <x:v>candidate</x:v>
      </x:c>
      <x:c r="C62" s="17" t="str">
        <x:v>Ray Kurzweil’s Predictions: Decade-by-Decade Analysis.txt</x:v>
      </x:c>
      <x:c r="D62" s="17"/>
      <x:c r="E62" s="17" t="str">
        <x:v>Computer passes Turing Test by 2029</x:v>
      </x:c>
      <x:c r="F62" s="17" t="str"/>
      <x:c r="G62" s="17" t="str">
        <x:v>Singularity Is Near (2005)</x:v>
      </x:c>
      <x:c r="H62" s="17" t="str">
        <x:v>2029</x:v>
      </x:c>
      <x:c r="I62" s="17" t="str">
        <x:v>AI</x:v>
      </x:c>
      <x:c r="J62" s="17" t="str">
        <x:v>Pending</x:v>
      </x:c>
      <x:c r="K62" s="17" t="str">
        <x:v>–</x:v>
      </x:c>
      <x:c r="L62" s="17" t="str">
        <x:v>0</x:v>
      </x:c>
      <x:c r="M62" s="17" t="str">
        <x:v>Pending | Kurzweil’s explicit prediction【58†L333-L342】</x:v>
      </x:c>
      <x:c r="N62" s="17" t="str"/>
      <x:c r="O62" s="17" t="str">
        <x:v>2000s</x:v>
      </x:c>
      <x:c r="P62" s="17" t="str">
        <x:v>【58†L333-L342】</x:v>
      </x:c>
      <x:c r="Q62" s="17" t="str"/>
      <x:c r="R62" s="17" t="str">
        <x:v>["2000s", "Singularity Is Near (2005)", "Computer passes Turing Test by 2029", "2029", "AI", "Pending", "–", "Pending", "0", "Kurzweil’s explicit prediction【58†L333-L342】", "【58†L333-L342】"]</x:v>
      </x:c>
    </x:row>
    <x:row r="63" ht="58" customHeight="1">
      <x:c r="A63" s="17" t="str">
        <x:v>DEC-028</x:v>
      </x:c>
      <x:c r="B63" s="17" t="str">
        <x:v>candidate</x:v>
      </x:c>
      <x:c r="C63" s="17" t="str">
        <x:v>Ray Kurzweil’s Predictions: Decade-by-Decade Analysis.txt</x:v>
      </x:c>
      <x:c r="D63" s="17"/>
      <x:c r="E63" s="17" t="str">
        <x:v>Virtual reality indistinguishable by 2020s</x:v>
      </x:c>
      <x:c r="F63" s="17" t="str"/>
      <x:c r="G63" s="17" t="str">
        <x:v>Singularity Is Near (2005)</x:v>
      </x:c>
      <x:c r="H63" s="17" t="str">
        <x:v>2029</x:v>
      </x:c>
      <x:c r="I63" s="17" t="str">
        <x:v>VR</x:v>
      </x:c>
      <x:c r="J63" s="17" t="str">
        <x:v>Wrong</x:v>
      </x:c>
      <x:c r="K63" s="17" t="str">
        <x:v>2020s</x:v>
      </x:c>
      <x:c r="L63" s="17" t="str">
        <x:v>+?</x:v>
      </x:c>
      <x:c r="M63" s="17" t="str">
        <x:v>No (still developing) | Now aiming late 2020s【58†L345-L354】</x:v>
      </x:c>
      <x:c r="N63" s="17" t="str"/>
      <x:c r="O63" s="17" t="str">
        <x:v>2000s</x:v>
      </x:c>
      <x:c r="P63" s="17" t="str">
        <x:v>【58†L345-L354】</x:v>
      </x:c>
      <x:c r="Q63" s="17" t="str"/>
      <x:c r="R63" s="17" t="str">
        <x:v>["2000s", "Singularity Is Near (2005)", "Virtual reality indistinguishable by 2020s", "2029", "VR", "No (still developing)", "2020s", "Wrong", "+?", "Now aiming late 2020s【58†L345-L354】", "【58†L345-L354】"]</x:v>
      </x:c>
    </x:row>
    <x:row r="64" ht="58" customHeight="1">
      <x:c r="A64" s="17" t="str">
        <x:v>DEC-029</x:v>
      </x:c>
      <x:c r="B64" s="17" t="str">
        <x:v>candidate</x:v>
      </x:c>
      <x:c r="C64" s="17" t="str">
        <x:v>Ray Kurzweil’s Predictions: Decade-by-Decade Analysis.txt</x:v>
      </x:c>
      <x:c r="D64" s="17"/>
      <x:c r="E64" s="17" t="str">
        <x:v>Tether consciousness (mind-upload) by 2030s</x:v>
      </x:c>
      <x:c r="F64" s="17" t="str"/>
      <x:c r="G64" s="17" t="str">
        <x:v>Singularity Is Near (2005)</x:v>
      </x:c>
      <x:c r="H64" s="17" t="str">
        <x:v>2030s</x:v>
      </x:c>
      <x:c r="I64" s="17" t="str">
        <x:v>Biotech</x:v>
      </x:c>
      <x:c r="J64" s="17" t="str">
        <x:v>Pending</x:v>
      </x:c>
      <x:c r="K64" s="17" t="str">
        <x:v>–</x:v>
      </x:c>
      <x:c r="L64" s="17" t="str">
        <x:v>0</x:v>
      </x:c>
      <x:c r="M64" s="17" t="str">
        <x:v>Pending | Hardware nearing capability (10^19 cps by 2030s)</x:v>
      </x:c>
      <x:c r="N64" s="17" t="str"/>
      <x:c r="O64" s="17" t="str">
        <x:v>2000s</x:v>
      </x:c>
      <x:c r="P64" s="17" t="str">
        <x:v>【59†L447-L456】</x:v>
      </x:c>
      <x:c r="Q64" s="17" t="str"/>
      <x:c r="R64" s="17" t="str">
        <x:v>["2000s", "Singularity Is Near (2005)", "Tether consciousness (mind-upload) by 2030s", "2030s", "Biotech", "Pending", "–", "Pending", "0", "Hardware nearing capability (10^19 cps by 2030s)", "【59†L447-L456】"]</x:v>
      </x:c>
    </x:row>
    <x:row r="65" ht="58" customHeight="1">
      <x:c r="A65" s="17" t="str">
        <x:v>DEC-030</x:v>
      </x:c>
      <x:c r="B65" s="17" t="str">
        <x:v>candidate</x:v>
      </x:c>
      <x:c r="C65" s="17" t="str">
        <x:v>Ray Kurzweil’s Predictions: Decade-by-Decade Analysis.txt</x:v>
      </x:c>
      <x:c r="D65" s="17"/>
      <x:c r="E65" s="17" t="str">
        <x:v>Humans mostly non-biological by 2030s</x:v>
      </x:c>
      <x:c r="F65" s="17" t="str"/>
      <x:c r="G65" s="17" t="str">
        <x:v>Singularity Is Near (2005)</x:v>
      </x:c>
      <x:c r="H65" s="17" t="str">
        <x:v>2030s</x:v>
      </x:c>
      <x:c r="I65" s="17" t="str">
        <x:v>Biotech</x:v>
      </x:c>
      <x:c r="J65" s="17" t="str">
        <x:v>Pending</x:v>
      </x:c>
      <x:c r="K65" s="17" t="str">
        <x:v>–</x:v>
      </x:c>
      <x:c r="L65" s="17" t="str">
        <x:v>0</x:v>
      </x:c>
      <x:c r="M65" s="17" t="str">
        <x:v>Pending | Brain-cloud connectivity progressing【59†L457-L466】</x:v>
      </x:c>
      <x:c r="N65" s="17" t="str"/>
      <x:c r="O65" s="17" t="str">
        <x:v>2000s</x:v>
      </x:c>
      <x:c r="P65" s="17" t="str">
        <x:v>【59†L457-L466】</x:v>
      </x:c>
      <x:c r="Q65" s="17" t="str"/>
      <x:c r="R65" s="17" t="str">
        <x:v>["2000s", "Singularity Is Near (2005)", "Humans mostly non-biological by 2030s", "2030s", "Biotech", "Pending", "–", "Pending", "0", "Brain-cloud connectivity progressing【59†L457-L466】", "【59†L457-L466】"]</x:v>
      </x:c>
    </x:row>
    <x:row r="66" ht="58" customHeight="1">
      <x:c r="A66" s="17" t="str">
        <x:v>DEC-031</x:v>
      </x:c>
      <x:c r="B66" s="17" t="str">
        <x:v>candidate</x:v>
      </x:c>
      <x:c r="C66" s="17" t="str">
        <x:v>Ray Kurzweil’s Predictions: Decade-by-Decade Analysis.txt</x:v>
      </x:c>
      <x:c r="D66" s="17"/>
      <x:c r="E66" s="17" t="str">
        <x:v>Universal basic income early 2030s (rich) / end of 2030s (worldwide)</x:v>
      </x:c>
      <x:c r="F66" s="17" t="str"/>
      <x:c r="G66" s="17" t="str">
        <x:v>TED Talk (2018)</x:v>
      </x:c>
      <x:c r="H66" s="17" t="str">
        <x:v>2030s</x:v>
      </x:c>
      <x:c r="I66" s="17" t="str">
        <x:v>Society</x:v>
      </x:c>
      <x:c r="J66" s="17" t="str">
        <x:v>Not yet</x:v>
      </x:c>
      <x:c r="K66" s="17" t="str">
        <x:v>n/a</x:v>
      </x:c>
      <x:c r="L66" s="17" t="str">
        <x:v>–</x:v>
      </x:c>
      <x:c r="M66" s="17" t="str">
        <x:v>Not yet | UBI pilots exist but not universal</x:v>
      </x:c>
      <x:c r="N66" s="17" t="str"/>
      <x:c r="O66" s="17" t="str">
        <x:v>2010s</x:v>
      </x:c>
      <x:c r="P66" s="17" t="str">
        <x:v>【83†L624-L627】</x:v>
      </x:c>
      <x:c r="Q66" s="17" t="str"/>
      <x:c r="R66" s="17" t="str">
        <x:v>["2010s", "TED Talk (2018)", "Universal basic income early 2030s (rich) / end of 2030s (worldwide)", "2030s", "Society", "Not yet", "n/a", "Not yet", "–", "UBI pilots exist but not universal", "【83†L624-L627】"]</x:v>
      </x:c>
    </x:row>
    <x:row r="67" ht="58" customHeight="1">
      <x:c r="A67" s="17" t="str">
        <x:v>DEC-032</x:v>
      </x:c>
      <x:c r="B67" s="17" t="str">
        <x:v>candidate</x:v>
      </x:c>
      <x:c r="C67" s="17" t="str">
        <x:v>Ray Kurzweil’s Predictions: Decade-by-Decade Analysis.txt</x:v>
      </x:c>
      <x:c r="D67" s="17"/>
      <x:c r="E67" s="17" t="str">
        <x:v>First 150-year-old by 2050 (implying longevity breakthroughs)</x:v>
      </x:c>
      <x:c r="F67" s="17" t="str"/>
      <x:c r="G67" s="17" t="str">
        <x:v>Guardian Interview (2024)</x:v>
      </x:c>
      <x:c r="H67" s="17" t="str">
        <x:v>2050s</x:v>
      </x:c>
      <x:c r="I67" s="17" t="str">
        <x:v>Longevity</x:v>
      </x:c>
      <x:c r="J67" s="17" t="str">
        <x:v>Pending</x:v>
      </x:c>
      <x:c r="K67" s="17" t="str">
        <x:v>–</x:v>
      </x:c>
      <x:c r="L67" s="17" t="str">
        <x:v>0</x:v>
      </x:c>
      <x:c r="M67" s="17" t="str">
        <x:v>Pending | No verification yet</x:v>
      </x:c>
      <x:c r="N67" s="17" t="str"/>
      <x:c r="O67" s="17" t="str">
        <x:v>2020s</x:v>
      </x:c>
      <x:c r="P67" s="17" t="str">
        <x:v>–</x:v>
      </x:c>
      <x:c r="Q67" s="17" t="str"/>
      <x:c r="R67" s="17" t="str">
        <x:v>["2020s", "Guardian Interview (2024)", "First 150-year-old by 2050 (implying longevity breakthroughs)", "2050s", "Longevity", "Pending", "–", "Pending", "0", "No verification yet", "–"]</x:v>
      </x:c>
    </x:row>
    <x:row r="68" ht="58" customHeight="1">
      <x:c r="A68" s="17" t="str">
        <x:v>EXE-001</x:v>
      </x:c>
      <x:c r="B68" s="17" t="str">
        <x:v>candidate</x:v>
      </x:c>
      <x:c r="C68" s="17" t="str">
        <x:v>Executive Summary.txt</x:v>
      </x:c>
      <x:c r="D68" s="17" t="n">
        <x:v>13</x:v>
      </x:c>
      <x:c r="E68" s="17" t="str">
        <x:v>“we will see a [computer] world champion by the year 2000”【45†L226-L233】</x:v>
      </x:c>
      <x:c r="F68" s="17" t="str"/>
      <x:c r="G68" s="17" t="str">
        <x:v>*The Age of Intelligent Machines* (1990)</x:v>
      </x:c>
      <x:c r="H68" s="17" t="str">
        <x:v>2000</x:v>
      </x:c>
      <x:c r="I68" s="17" t="str">
        <x:v>AI / Games</x:v>
      </x:c>
      <x:c r="J68" s="17" t="str">
        <x:v>Early (hit)</x:v>
      </x:c>
      <x:c r="K68" s="17" t="str">
        <x:v>Deep Blue defeated Kasparov in 1997【45†L226-L233】</x:v>
      </x:c>
      <x:c r="L68" s="17" t="str">
        <x:v>–3</x:v>
      </x:c>
      <x:c r="M68" s="17" t="str">
        <x:v>**High:** precise and occurred early</x:v>
      </x:c>
      <x:c r="N68" s="17" t="str"/>
      <x:c r="O68" s="17" t="str"/>
      <x:c r="P68" s="17"/>
      <x:c r="Q68" s="17"/>
      <x:c r="R68" s="17" t="str">
        <x:v>| “we will see a [computer] world champion by the year 2000”【45†L226-L233】                  | *The Age of Intelligent Machines* (1990) | 2000                    | AI / Games           | Deep Blue defeated Kasparov in 1997【45†L226-L233】  | Early (hit)   | –3            | **High:** precise and occurred early        |</x:v>
      </x:c>
    </x:row>
    <x:row r="69" ht="58" customHeight="1">
      <x:c r="A69" s="17" t="str">
        <x:v>EXE-002</x:v>
      </x:c>
      <x:c r="B69" s="17" t="str">
        <x:v>candidate</x:v>
      </x:c>
      <x:c r="C69" s="17" t="str">
        <x:v>Executive Summary.txt</x:v>
      </x:c>
      <x:c r="D69" s="17" t="n">
        <x:v>14</x:v>
      </x:c>
      <x:c r="E69" s="17" t="str">
        <x:v>“translating telephone” (real-time speech translation) by 2010【45†L295-L300】</x:v>
      </x:c>
      <x:c r="F69" s="17" t="str"/>
      <x:c r="G69" s="17" t="str">
        <x:v>*The Age of Intelligent Machines* (1990)</x:v>
      </x:c>
      <x:c r="H69" s="17" t="str">
        <x:v>2010</x:v>
      </x:c>
      <x:c r="I69" s="17" t="str">
        <x:v>AI / Comm</x:v>
      </x:c>
      <x:c r="J69" s="17" t="str">
        <x:v>Late</x:v>
      </x:c>
      <x:c r="K69" s="17" t="str">
        <x:v>Google/Tandem Translate phone app by ~2017</x:v>
      </x:c>
      <x:c r="L69" s="17" t="str">
        <x:v>+7</x:v>
      </x:c>
      <x:c r="M69" s="17" t="str">
        <x:v>**Med:** Idea correct, commercial by 2017</x:v>
      </x:c>
      <x:c r="N69" s="17" t="str"/>
      <x:c r="O69" s="17" t="str"/>
      <x:c r="P69" s="17"/>
      <x:c r="Q69" s="17"/>
      <x:c r="R69" s="17" t="str">
        <x:v>| “translating telephone” (real-time speech translation) by 2010【45†L295-L300】             | *The Age of Intelligent Machines* (1990) | 2010                    | AI / Comm           | Google/Tandem Translate phone app by ~2017        | Late         | +7            | **Med:** Idea correct, commercial by 2017    |</x:v>
      </x:c>
    </x:row>
    <x:row r="70" ht="58" customHeight="1">
      <x:c r="A70" s="17" t="str">
        <x:v>EXE-003</x:v>
      </x:c>
      <x:c r="B70" s="17" t="str">
        <x:v>candidate</x:v>
      </x:c>
      <x:c r="C70" s="17" t="str">
        <x:v>Executive Summary.txt</x:v>
      </x:c>
      <x:c r="D70" s="17" t="n">
        <x:v>15</x:v>
      </x:c>
      <x:c r="E70" s="17" t="str">
        <x:v>“intelligent assistants” (AI aides) by mid-1990s【45†L295-L300】</x:v>
      </x:c>
      <x:c r="F70" s="17" t="str"/>
      <x:c r="G70" s="17" t="str">
        <x:v>*The Age of Intelligent Machines* (1990)</x:v>
      </x:c>
      <x:c r="H70" s="17" t="str">
        <x:v>~1995</x:v>
      </x:c>
      <x:c r="I70" s="17" t="str">
        <x:v>AI</x:v>
      </x:c>
      <x:c r="J70" s="17" t="str">
        <x:v>Late</x:v>
      </x:c>
      <x:c r="K70" s="17" t="str">
        <x:v>Speech assistants (Siri, Alexa) emerged ~2010s</x:v>
      </x:c>
      <x:c r="L70" s="17" t="str">
        <x:v>+15</x:v>
      </x:c>
      <x:c r="M70" s="17" t="str">
        <x:v>**Med:** Vague; partial realization</x:v>
      </x:c>
      <x:c r="N70" s="17" t="str"/>
      <x:c r="O70" s="17" t="str"/>
      <x:c r="P70" s="17"/>
      <x:c r="Q70" s="17"/>
      <x:c r="R70" s="17" t="str">
        <x:v>| “intelligent assistants” (AI aides) by mid-1990s【45†L295-L300】                          | *The Age of Intelligent Machines* (1990) | ~1995                   | AI                  | Speech assistants (Siri, Alexa) emerged ~2010s    | Late         | +15           | **Med:** Vague; partial realization         |</x:v>
      </x:c>
    </x:row>
    <x:row r="71" ht="58" customHeight="1">
      <x:c r="A71" s="17" t="str">
        <x:v>EXE-004</x:v>
      </x:c>
      <x:c r="B71" s="17" t="str">
        <x:v>candidate</x:v>
      </x:c>
      <x:c r="C71" s="17" t="str">
        <x:v>Executive Summary.txt</x:v>
      </x:c>
      <x:c r="D71" s="17" t="n">
        <x:v>16</x:v>
      </x:c>
      <x:c r="E71" s="17" t="str">
        <x:v>“translating telephone by 2010;…completely driverless car by well into first half of 21st century”【45†L295-L300】</x:v>
      </x:c>
      <x:c r="F71" s="17" t="str"/>
      <x:c r="G71" s="17" t="str">
        <x:v>*The Age of Intelligent Machines* (1990)</x:v>
      </x:c>
      <x:c r="H71" s="17" t="str">
        <x:v>2010; ~2050</x:v>
      </x:c>
      <x:c r="I71" s="17" t="str">
        <x:v>AI / Transport</x:v>
      </x:c>
      <x:c r="J71" s="17" t="str">
        <x:v>Partly On-time/Not yet</x:v>
      </x:c>
      <x:c r="K71" s="17" t="str">
        <x:v>Google driverless car ~2010s; fully autonomous car TBD (~2050s?)</x:v>
      </x:c>
      <x:c r="L71" s="17" t="str">
        <x:v>+? (ongoing)</x:v>
      </x:c>
      <x:c r="M71" s="17" t="str">
        <x:v>**Low:** “well into first half” vague; on-road cars now testing</x:v>
      </x:c>
      <x:c r="N71" s="17" t="str"/>
      <x:c r="O71" s="17" t="str"/>
      <x:c r="P71" s="17"/>
      <x:c r="Q71" s="17"/>
      <x:c r="R71" s="17" t="str">
        <x:v>| “translating telephone by 2010;…completely driverless car by well into first half of 21st century”【45†L295-L300】 | *The Age of Intelligent Machines* (1990) | 2010; ~2050           | AI / Transport      | Google driverless car ~2010s; fully autonomous car TBD (~2050s?) | Partly On-time/Not yet | +? (ongoing)  | **Low:** “well into first half” vague; on-road cars now testing |</x:v>
      </x:c>
    </x:row>
    <x:row r="72" ht="58" customHeight="1">
      <x:c r="A72" s="17" t="str">
        <x:v>EXE-005</x:v>
      </x:c>
      <x:c r="B72" s="17" t="str">
        <x:v>candidate</x:v>
      </x:c>
      <x:c r="C72" s="17" t="str">
        <x:v>Executive Summary.txt</x:v>
      </x:c>
      <x:c r="D72" s="17" t="n">
        <x:v>17</x:v>
      </x:c>
      <x:c r="E72" s="17" t="str">
        <x:v>“People will use electronic documents [hypertext],… instead of linear like a book”【45†L309-L313】</x:v>
      </x:c>
      <x:c r="F72" s="17" t="str"/>
      <x:c r="G72" s="17" t="str">
        <x:v>*The Age of Intelligent Machines* (1990)</x:v>
      </x:c>
      <x:c r="H72" s="17" t="str">
        <x:v>2000s</x:v>
      </x:c>
      <x:c r="I72" s="17" t="str">
        <x:v>Computing / Info</x:v>
      </x:c>
      <x:c r="J72" s="17" t="str">
        <x:v>On Time</x:v>
      </x:c>
      <x:c r="K72" s="17" t="str">
        <x:v>Internet browsers, e-books common by 2005-2010</x:v>
      </x:c>
      <x:c r="L72" s="17" t="str">
        <x:v>~0</x:v>
      </x:c>
      <x:c r="M72" s="17" t="str">
        <x:v>**High:** happened by mid-2000s</x:v>
      </x:c>
      <x:c r="N72" s="17" t="str"/>
      <x:c r="O72" s="17" t="str"/>
      <x:c r="P72" s="17"/>
      <x:c r="Q72" s="17"/>
      <x:c r="R72" s="17" t="str">
        <x:v>| “People will use electronic documents [hypertext],… instead of linear like a book”【45†L309-L313】           | *The Age of Intelligent Machines* (1990) | 2000s                  | Computing / Info    | Internet browsers, e-books common by 2005-2010     | On Time      | ~0            | **High:** happened by mid-2000s            |</x:v>
      </x:c>
    </x:row>
    <x:row r="73" ht="58" customHeight="1">
      <x:c r="A73" s="17" t="str">
        <x:v>EXE-006</x:v>
      </x:c>
      <x:c r="B73" s="17" t="str">
        <x:v>candidate</x:v>
      </x:c>
      <x:c r="C73" s="17" t="str">
        <x:v>Executive Summary.txt</x:v>
      </x:c>
      <x:c r="D73" s="17" t="n">
        <x:v>18</x:v>
      </x:c>
      <x:c r="E73" s="17" t="str">
        <x:v>“laser and particle beam weapons, and planes without human pilots” in future warfare【45†L319-L323】</x:v>
      </x:c>
      <x:c r="F73" s="17" t="str"/>
      <x:c r="G73" s="17" t="str">
        <x:v>*The Age of Intelligent Machines* (1990)</x:v>
      </x:c>
      <x:c r="H73" s="17" t="str">
        <x:v>2000–2010</x:v>
      </x:c>
      <x:c r="I73" s="17" t="str">
        <x:v>Military / Robotics</x:v>
      </x:c>
      <x:c r="J73" s="17" t="str">
        <x:v>Partly Late</x:v>
      </x:c>
      <x:c r="K73" s="17" t="str">
        <x:v>Drones (pilotless planes) widespread ~2010s; laser weapons R&amp;D underway but not general</x:v>
      </x:c>
      <x:c r="L73" s="17" t="str">
        <x:v>–</x:v>
      </x:c>
      <x:c r="M73" s="17" t="str">
        <x:v>**Low/Med:** Drones realized; lasers experimental</x:v>
      </x:c>
      <x:c r="N73" s="17" t="str"/>
      <x:c r="O73" s="17" t="str"/>
      <x:c r="P73" s="17"/>
      <x:c r="Q73" s="17"/>
      <x:c r="R73" s="17" t="str">
        <x:v>| “laser and particle beam weapons, and planes without human pilots” in future warfare【45†L319-L323】        | *The Age of Intelligent Machines* (1990) | 2000–2010              | Military / Robotics | Drones (pilotless planes) widespread ~2010s; laser weapons R&amp;D underway but not general | Partly Late  | –             | **Low/Med:** Drones realized; lasers experimental |</x:v>
      </x:c>
    </x:row>
    <x:row r="74" ht="58" customHeight="1">
      <x:c r="A74" s="17" t="str">
        <x:v>EXE-007</x:v>
      </x:c>
      <x:c r="B74" s="17" t="str">
        <x:v>aggregate</x:v>
      </x:c>
      <x:c r="C74" s="17" t="str">
        <x:v>Executive Summary.txt</x:v>
      </x:c>
      <x:c r="D74" s="17" t="n">
        <x:v>19</x:v>
      </x:c>
      <x:c r="E74" s="17" t="str">
        <x:v>**Aggregate (1990s)** – strong computing gains, internet expansion, early AI breakthroughs【79†L643-L650】【45†L319-L323】</x:v>
      </x:c>
      <x:c r="F74" s="17" t="str"/>
      <x:c r="G74" s="17" t="str">
        <x:v>Various (1990s)</x:v>
      </x:c>
      <x:c r="H74" s="17" t="str">
        <x:v>1990s–2000s</x:v>
      </x:c>
      <x:c r="I74" s="17" t="str">
        <x:v>Multiple</x:v>
      </x:c>
      <x:c r="J74" s="17" t="str">
        <x:v>Mostly On-time/Early</x:v>
      </x:c>
      <x:c r="K74" s="17" t="str">
        <x:v>Chess AI (1997), Internet boom (late 1990s), early robotics/VR experiments</x:v>
      </x:c>
      <x:c r="L74" s="17" t="str">
        <x:v>–</x:v>
      </x:c>
      <x:c r="M74" s="17" t="str">
        <x:v>**Med:** Many early-career predictions roughly correct</x:v>
      </x:c>
      <x:c r="N74" s="17" t="str"/>
      <x:c r="O74" s="17" t="str"/>
      <x:c r="P74" s="17"/>
      <x:c r="Q74" s="17"/>
      <x:c r="R74" s="17" t="str">
        <x:v>| **Aggregate (1990s)** – strong computing gains, internet expansion, early AI breakthroughs【79†L643-L650】【45†L319-L323】 | Various (1990s)                    | 1990s–2000s            | Multiple           | Chess AI (1997), Internet boom (late 1990s), early robotics/VR experiments | Mostly On-time/Early | –             | **Med:** Many early-career predictions roughly correct |</x:v>
      </x:c>
    </x:row>
    <x:row r="75" ht="58" customHeight="1">
      <x:c r="A75" s="17" t="str">
        <x:v>EXE-008</x:v>
      </x:c>
      <x:c r="B75" s="17" t="str">
        <x:v>candidate</x:v>
      </x:c>
      <x:c r="C75" s="17" t="str">
        <x:v>Executive Summary.txt</x:v>
      </x:c>
      <x:c r="D75" s="17" t="n">
        <x:v>25</x:v>
      </x:c>
      <x:c r="E75" s="17" t="str">
        <x:v>“2009 computer will be a tablet or smaller device with high quality… display”【63†L382-L389】</x:v>
      </x:c>
      <x:c r="F75" s="17" t="str"/>
      <x:c r="G75" s="17" t="str">
        <x:v>*The Age of Spiritual Machines* (1999)</x:v>
      </x:c>
      <x:c r="H75" s="17" t="str">
        <x:v>2009</x:v>
      </x:c>
      <x:c r="I75" s="17" t="str">
        <x:v>Computing / Devices</x:v>
      </x:c>
      <x:c r="J75" s="17" t="str">
        <x:v>On Time</x:v>
      </x:c>
      <x:c r="K75" s="17" t="str">
        <x:v>iPad (tablet) in 2010; smartphones by 2007–2009</x:v>
      </x:c>
      <x:c r="L75" s="17" t="str">
        <x:v>0–2</x:v>
      </x:c>
      <x:c r="M75" s="17" t="str">
        <x:v>**High:** Spot-on form factor by 2009</x:v>
      </x:c>
      <x:c r="N75" s="17" t="str"/>
      <x:c r="O75" s="17" t="str"/>
      <x:c r="P75" s="17"/>
      <x:c r="Q75" s="17"/>
      <x:c r="R75" s="17" t="str">
        <x:v>| “2009 computer will be a tablet or smaller device with high quality… display”【63†L382-L389】                       | *The Age of Spiritual Machines* (1999)   | 2009                     | Computing / Devices   | iPad (tablet) in 2010; smartphones by 2007–2009                 | On Time      | 0–2         | **High:** Spot-on form factor by 2009                 |</x:v>
      </x:c>
    </x:row>
    <x:row r="76" ht="58" customHeight="1">
      <x:c r="A76" s="17" t="str">
        <x:v>EXE-009</x:v>
      </x:c>
      <x:c r="B76" s="17" t="str">
        <x:v>candidate</x:v>
      </x:c>
      <x:c r="C76" s="17" t="str">
        <x:v>Executive Summary.txt</x:v>
      </x:c>
      <x:c r="D76" s="17" t="n">
        <x:v>26</x:v>
      </x:c>
      <x:c r="E76" s="17" t="str">
        <x:v>“2019 computers are largely invisible – images projected directly into the retina”【63†L382-L389】</x:v>
      </x:c>
      <x:c r="F76" s="17" t="str"/>
      <x:c r="G76" s="17" t="str">
        <x:v>*The Age of Spiritual Machines* (1999)</x:v>
      </x:c>
      <x:c r="H76" s="17" t="str">
        <x:v>2019</x:v>
      </x:c>
      <x:c r="I76" s="17" t="str">
        <x:v>VR/AR</x:v>
      </x:c>
      <x:c r="J76" s="17" t="str">
        <x:v>Late/Partial</x:v>
      </x:c>
      <x:c r="K76" s="17" t="str">
        <x:v>AR glasses (e.g. Google Glass 2013) exist, but not retina-projection by 2019</x:v>
      </x:c>
      <x:c r="L76" s="17" t="str">
        <x:v>~+?</x:v>
      </x:c>
      <x:c r="M76" s="17" t="str">
        <x:v>**Low:** Eye displays not mainstream by 2019</x:v>
      </x:c>
      <x:c r="N76" s="17" t="str"/>
      <x:c r="O76" s="17" t="str"/>
      <x:c r="P76" s="17"/>
      <x:c r="Q76" s="17"/>
      <x:c r="R76" s="17" t="str">
        <x:v>| “2019 computers are largely invisible – images projected directly into the retina”【63†L382-L389】                     | *The Age of Spiritual Machines* (1999)   | 2019                     | VR/AR               | AR glasses (e.g. Google Glass 2013) exist, but not retina-projection by 2019 | Late/Partial | ~+?         | **Low:** Eye displays not mainstream by 2019         |</x:v>
      </x:c>
    </x:row>
    <x:row r="77" ht="58" customHeight="1">
      <x:c r="A77" s="17" t="str">
        <x:v>EXE-010</x:v>
      </x:c>
      <x:c r="B77" s="17" t="str">
        <x:v>candidate</x:v>
      </x:c>
      <x:c r="C77" s="17" t="str">
        <x:v>Executive Summary.txt</x:v>
      </x:c>
      <x:c r="D77" s="17" t="n">
        <x:v>27</x:v>
      </x:c>
      <x:c r="E77" s="17" t="str">
        <x:v>“2029 computers will communicate through direct neural pathways”【63†L382-L389】</x:v>
      </x:c>
      <x:c r="F77" s="17" t="str"/>
      <x:c r="G77" s="17" t="str">
        <x:v>*The Age of Spiritual Machines* (1999)</x:v>
      </x:c>
      <x:c r="H77" s="17" t="str">
        <x:v>2029</x:v>
      </x:c>
      <x:c r="I77" s="17" t="str">
        <x:v>Neuroscience / AI</x:v>
      </x:c>
      <x:c r="J77" s="17" t="str">
        <x:v>Not yet</x:v>
      </x:c>
      <x:c r="K77" s="17" t="str">
        <x:v>Brain–computer interfaces (e.g. Neuralink human trials 2024) far from full neural integration</x:v>
      </x:c>
      <x:c r="L77" s="17" t="str">
        <x:v>N/A</x:v>
      </x:c>
      <x:c r="M77" s="17" t="str">
        <x:v>**Low:** Very ambitious; no evidence yet</x:v>
      </x:c>
      <x:c r="N77" s="17" t="str"/>
      <x:c r="O77" s="17" t="str"/>
      <x:c r="P77" s="17"/>
      <x:c r="Q77" s="17"/>
      <x:c r="R77" s="17" t="str">
        <x:v>| “2029 computers will communicate through direct neural pathways”【63†L382-L389】                                       | *The Age of Spiritual Machines* (1999)   | 2029                     | Neuroscience / AI   | Brain–computer interfaces (e.g. Neuralink human trials 2024) far from full neural integration | Not yet      | N/A         | **Low:** Very ambitious; no evidence yet             |</x:v>
      </x:c>
    </x:row>
    <x:row r="78" ht="58" customHeight="1">
      <x:c r="A78" s="17" t="str">
        <x:v>EXE-011</x:v>
      </x:c>
      <x:c r="B78" s="17" t="str">
        <x:v>candidate</x:v>
      </x:c>
      <x:c r="C78" s="17" t="str">
        <x:v>Executive Summary.txt</x:v>
      </x:c>
      <x:c r="D78" s="17" t="n">
        <x:v>28</x:v>
      </x:c>
      <x:c r="E78" s="17" t="str">
        <x:v>“Interest and speculation about the Turing test in 2009; by 2029 machines ‘routinely’ pass the test”【63†L386-L390】</x:v>
      </x:c>
      <x:c r="F78" s="17" t="str"/>
      <x:c r="G78" s="17" t="str">
        <x:v>*The Age of Spiritual Machines* (1999)</x:v>
      </x:c>
      <x:c r="H78" s="17" t="str">
        <x:v>2009, 2019, 2029</x:v>
      </x:c>
      <x:c r="I78" s="17" t="str">
        <x:v>AI / Turing</x:v>
      </x:c>
      <x:c r="J78" s="17" t="str">
        <x:v>On time/Late</x:v>
      </x:c>
      <x:c r="K78" s="17" t="str">
        <x:v>Chatbots (Eliza-like) existed by 2009; 2019 reports of chatbots fooling some judges; 2029 TBD</x:v>
      </x:c>
      <x:c r="L78" s="17" t="str">
        <x:v>0–10</x:v>
      </x:c>
      <x:c r="M78" s="17" t="str">
        <x:v>**Med:** Early chatter happened, but formal passing is still debated</x:v>
      </x:c>
      <x:c r="N78" s="17" t="str"/>
      <x:c r="O78" s="17" t="str"/>
      <x:c r="P78" s="17"/>
      <x:c r="Q78" s="17"/>
      <x:c r="R78" s="17" t="str">
        <x:v>| “Interest and speculation about the Turing test in 2009; by 2029 machines ‘routinely’ pass the test”【63†L386-L390】   | *The Age of Spiritual Machines* (1999)   | 2009, 2019, 2029         | AI / Turing         | Chatbots (Eliza-like) existed by 2009; 2019 reports of chatbots fooling some judges; 2029 TBD | On time/Late  | 0–10        | **Med:** Early chatter happened, but formal passing is still debated |</x:v>
      </x:c>
    </x:row>
    <x:row r="79" ht="58" customHeight="1">
      <x:c r="A79" s="17" t="str">
        <x:v>EXE-012</x:v>
      </x:c>
      <x:c r="B79" s="17" t="str">
        <x:v>candidate</x:v>
      </x:c>
      <x:c r="C79" s="17" t="str">
        <x:v>Executive Summary.txt</x:v>
      </x:c>
      <x:c r="D79" s="17" t="n">
        <x:v>29</x:v>
      </x:c>
      <x:c r="E79" s="17" t="str">
        <x:v>“In 2009 it will take a supercomputer to match one human brain; in 2019 \$4,000 does the same; in 2029 \$1,000 buys 1000 brains”【63†L392-L399】</x:v>
      </x:c>
      <x:c r="F79" s="17" t="str"/>
      <x:c r="G79" s="17" t="str">
        <x:v>*The Age of Spiritual Machines* (1999)</x:v>
      </x:c>
      <x:c r="H79" s="17" t="str">
        <x:v>2009–2029</x:v>
      </x:c>
      <x:c r="I79" s="17" t="str">
        <x:v>AI / Computing</x:v>
      </x:c>
      <x:c r="J79" s="17" t="str">
        <x:v>On-time/Early</x:v>
      </x:c>
      <x:c r="K79" s="17" t="str">
        <x:v>Hardware cost/perf. did fall exponentially (e.g. Chinese Tianhe-2, GPUs); \$1000 ≈ brain by ~2022【22†L381-L389】</x:v>
      </x:c>
      <x:c r="L79" s="17" t="str">
        <x:v>~0–?</x:v>
      </x:c>
      <x:c r="M79" s="17" t="str">
        <x:v>**Med:** Trend roughly held, though brain-cost metrics vary by definition</x:v>
      </x:c>
      <x:c r="N79" s="17" t="str"/>
      <x:c r="O79" s="17" t="str"/>
      <x:c r="P79" s="17"/>
      <x:c r="Q79" s="17"/>
      <x:c r="R79" s="17" t="str">
        <x:v>| “In 2009 it will take a supercomputer to match one human brain; in 2019 \$4,000 does the same; in 2029 \$1,000 buys 1000 brains”【63†L392-L399】 | *The Age of Spiritual Machines* (1999) | 2009–2029               | AI / Computing       | Hardware cost/perf. did fall exponentially (e.g. Chinese Tianhe-2, GPUs); \$1000 ≈ brain by ~2022【22†L381-L389】   | On-time/Early | ~0–?       | **Med:** Trend roughly held, though brain-cost metrics vary by definition |</x:v>
      </x:c>
    </x:row>
    <x:row r="80" ht="58" customHeight="1">
      <x:c r="A80" s="17" t="str">
        <x:v>EXE-013</x:v>
      </x:c>
      <x:c r="B80" s="17" t="str">
        <x:v>candidate</x:v>
      </x:c>
      <x:c r="C80" s="17" t="str">
        <x:v>Executive Summary.txt</x:v>
      </x:c>
      <x:c r="D80" s="17" t="n">
        <x:v>30</x:v>
      </x:c>
      <x:c r="E80" s="17" t="str">
        <x:v>“Life expectancy &gt;100 by 2019; 120 by 2029; indefinite by 2099”【63†L392-L399】</x:v>
      </x:c>
      <x:c r="F80" s="17" t="str"/>
      <x:c r="G80" s="17" t="str">
        <x:v>*The Age of Spiritual Machines* (1999)</x:v>
      </x:c>
      <x:c r="H80" s="17" t="str">
        <x:v>2019, 2029, 2099</x:v>
      </x:c>
      <x:c r="I80" s="17" t="str">
        <x:v>Biotech / Longevity</x:v>
      </x:c>
      <x:c r="J80" s="17" t="str">
        <x:v>Not yet</x:v>
      </x:c>
      <x:c r="K80" s="17" t="str">
        <x:v>Global life expectancy ~72.6 (2019)【30†L68-L72】; not 100+. No 120 by 2029.</x:v>
      </x:c>
      <x:c r="L80" s="17" t="str">
        <x:v>&gt;&gt;0</x:v>
      </x:c>
      <x:c r="M80" s="17" t="str">
        <x:v>**Low:** Far from realized; current median ~73 yrs</x:v>
      </x:c>
      <x:c r="N80" s="17" t="str"/>
      <x:c r="O80" s="17" t="str"/>
      <x:c r="P80" s="17"/>
      <x:c r="Q80" s="17"/>
      <x:c r="R80" s="17" t="str">
        <x:v>| “Life expectancy &gt;100 by 2019; 120 by 2029; indefinite by 2099”【63†L392-L399】                                       | *The Age of Spiritual Machines* (1999)   | 2019, 2029, 2099        | Biotech / Longevity | Global life expectancy ~72.6 (2019)【30†L68-L72】; not 100+. No 120 by 2029. | Not yet       | &gt;&gt;0        | **Low:** Far from realized; current median ~73 yrs               |</x:v>
      </x:c>
    </x:row>
    <x:row r="81" ht="58" customHeight="1">
      <x:c r="A81" s="17" t="str">
        <x:v>EXE-014</x:v>
      </x:c>
      <x:c r="B81" s="17" t="str">
        <x:v>candidate</x:v>
      </x:c>
      <x:c r="C81" s="17" t="str">
        <x:v>Executive Summary.txt</x:v>
      </x:c>
      <x:c r="D81" s="17" t="n">
        <x:v>31</x:v>
      </x:c>
      <x:c r="E81" s="17" t="str">
        <x:v>“Within 10 years (by 2009) we will have option to spend time in 3D virtual environments that appear just as real…”【79†L688-L695】</x:v>
      </x:c>
      <x:c r="F81" s="17" t="str"/>
      <x:c r="G81" s="17" t="str">
        <x:v>*Ray Kurzweil interview (1999)* – AoSM excerpt</x:v>
      </x:c>
      <x:c r="H81" s="17" t="str">
        <x:v>2009</x:v>
      </x:c>
      <x:c r="I81" s="17" t="str">
        <x:v>VR</x:v>
      </x:c>
      <x:c r="J81" s="17" t="str">
        <x:v>Late</x:v>
      </x:c>
      <x:c r="K81" s="17" t="str">
        <x:v>VR headsets (Oculus) commercialization ~2012; still not fully realistic by 2009</x:v>
      </x:c>
      <x:c r="L81" s="17" t="str">
        <x:v>+3</x:v>
      </x:c>
      <x:c r="M81" s="17" t="str">
        <x:v>**Med:** Concept came ~2012, but realism lacking by predicted date</x:v>
      </x:c>
      <x:c r="N81" s="17" t="str"/>
      <x:c r="O81" s="17" t="str"/>
      <x:c r="P81" s="17"/>
      <x:c r="Q81" s="17"/>
      <x:c r="R81" s="17" t="str">
        <x:v>| “Within 10 years (by 2009) we will have option to spend time in 3D virtual environments that appear just as real…”【79†L688-L695】 | *Ray Kurzweil interview (1999)* – AoSM excerpt | 2009                     | VR                | VR headsets (Oculus) commercialization ~2012; still not fully realistic by 2009 | Late         | +3         | **Med:** Concept came ~2012, but realism lacking by predicted date |</x:v>
      </x:c>
    </x:row>
    <x:row r="82" ht="58" customHeight="1">
      <x:c r="A82" s="17" t="str">
        <x:v>EXE-015</x:v>
      </x:c>
      <x:c r="B82" s="17" t="str">
        <x:v>candidate</x:v>
      </x:c>
      <x:c r="C82" s="17" t="str">
        <x:v>Executive Summary.txt</x:v>
      </x:c>
      <x:c r="D82" s="17" t="n">
        <x:v>32</x:v>
      </x:c>
      <x:c r="E82" s="17" t="str">
        <x:v>“Within 20 years (by 2019) millions of nanobots (blood-cell sized) will fight disease inside our bodies”【79†L688-L695】</x:v>
      </x:c>
      <x:c r="F82" s="17" t="str"/>
      <x:c r="G82" s="17" t="str">
        <x:v>*Ray Kurzweil interview (1999)* – AoSM excerpt</x:v>
      </x:c>
      <x:c r="H82" s="17" t="str">
        <x:v>2019</x:v>
      </x:c>
      <x:c r="I82" s="17" t="str">
        <x:v>Nanotech / Biotech</x:v>
      </x:c>
      <x:c r="J82" s="17" t="str">
        <x:v>Not yet</x:v>
      </x:c>
      <x:c r="K82" s="17" t="str">
        <x:v>No functional nanomedical devices in 2019; still largely theoretical</x:v>
      </x:c>
      <x:c r="L82" s="17" t="str">
        <x:v>N/A</x:v>
      </x:c>
      <x:c r="M82" s="17" t="str">
        <x:v>**Low:** Pioneering research only, no clinical nanobots yet</x:v>
      </x:c>
      <x:c r="N82" s="17" t="str"/>
      <x:c r="O82" s="17" t="str"/>
      <x:c r="P82" s="17"/>
      <x:c r="Q82" s="17"/>
      <x:c r="R82" s="17" t="str">
        <x:v>| “Within 20 years (by 2019) millions of nanobots (blood-cell sized) will fight disease inside our bodies”【79†L688-L695】 | *Ray Kurzweil interview (1999)* – AoSM excerpt | 2019                     | Nanotech / Biotech | No functional nanomedical devices in 2019; still largely theoretical | Not yet      | N/A        | **Low:** Pioneering research only, no clinical nanobots yet       |</x:v>
      </x:c>
    </x:row>
    <x:row r="83" ht="58" customHeight="1">
      <x:c r="A83" s="17" t="str">
        <x:v>EXE-016</x:v>
      </x:c>
      <x:c r="B83" s="17" t="str">
        <x:v>aggregate</x:v>
      </x:c>
      <x:c r="C83" s="17" t="str">
        <x:v>Executive Summary.txt</x:v>
      </x:c>
      <x:c r="D83" s="17" t="n">
        <x:v>33</x:v>
      </x:c>
      <x:c r="E83" s="17" t="str">
        <x:v>**Aggregate (2000s)** – mobile devices, cloud, AI advances</x:v>
      </x:c>
      <x:c r="F83" s="17" t="str"/>
      <x:c r="G83" s="17" t="str">
        <x:v>Various (2000s)</x:v>
      </x:c>
      <x:c r="H83" s="17" t="str">
        <x:v>2000s–2010s</x:v>
      </x:c>
      <x:c r="I83" s="17" t="str">
        <x:v>Multiple</x:v>
      </x:c>
      <x:c r="J83" s="17" t="str">
        <x:v>Mixed</x:v>
      </x:c>
      <x:c r="K83" s="17" t="str">
        <x:v>Smartphones/tablets by 2010s, Internet/cloud matured, early AI (Siri 2011)</x:v>
      </x:c>
      <x:c r="L83" s="17" t="str">
        <x:v>–</x:v>
      </x:c>
      <x:c r="M83" s="17" t="str">
        <x:v>**Med:** Many tech trends predicted generally, often later than thought</x:v>
      </x:c>
      <x:c r="N83" s="17" t="str"/>
      <x:c r="O83" s="17" t="str"/>
      <x:c r="P83" s="17"/>
      <x:c r="Q83" s="17"/>
      <x:c r="R83" s="17" t="str">
        <x:v>| **Aggregate (2000s)** – mobile devices, cloud, AI advances                                                           | Various (2000s)                         | 2000s–2010s            | Multiple           | Smartphones/tablets by 2010s, Internet/cloud matured, early AI (Siri 2011) | Mixed        | –            | **Med:** Many tech trends predicted generally, often later than thought |</x:v>
      </x:c>
    </x:row>
    <x:row r="84" ht="58" customHeight="1">
      <x:c r="A84" s="17" t="str">
        <x:v>EXE-017</x:v>
      </x:c>
      <x:c r="B84" s="17" t="str">
        <x:v>candidate</x:v>
      </x:c>
      <x:c r="C84" s="17" t="str">
        <x:v>Executive Summary.txt</x:v>
      </x:c>
      <x:c r="D84" s="17" t="n">
        <x:v>39</x:v>
      </x:c>
      <x:c r="E84" s="17" t="str">
        <x:v>“By 2010 a supercomputer will have the computational capacity to emulate human intelligence”【22†L381-L389】</x:v>
      </x:c>
      <x:c r="F84" s="17" t="str"/>
      <x:c r="G84" s="17" t="str">
        <x:v>*The Singularity Is Near* (2005)</x:v>
      </x:c>
      <x:c r="H84" s="17" t="str">
        <x:v>2010</x:v>
      </x:c>
      <x:c r="I84" s="17" t="str">
        <x:v>AI / Computing</x:v>
      </x:c>
      <x:c r="J84" s="17" t="str">
        <x:v>Not yet</x:v>
      </x:c>
      <x:c r="K84" s="17" t="str">
        <x:v>Even by 2025, fastest supercomputers (e.g. Frontier, 2022) are at ~1 exaflop, still far below human brain (estimated ~10–20 exaflops)</x:v>
      </x:c>
      <x:c r="L84" s="17" t="str">
        <x:v>N/A</x:v>
      </x:c>
      <x:c r="M84" s="17" t="str">
        <x:v>**Med:** Trend true but timeline optimistic</x:v>
      </x:c>
      <x:c r="N84" s="17" t="str"/>
      <x:c r="O84" s="17" t="str"/>
      <x:c r="P84" s="17"/>
      <x:c r="Q84" s="17"/>
      <x:c r="R84" s="17" t="str">
        <x:v>| “By 2010 a supercomputer will have the computational capacity to emulate human intelligence”【22†L381-L389】 | *The Singularity Is Near* (2005)     | 2010                   | AI / Computing       | Even by 2025, fastest supercomputers (e.g. Frontier, 2022) are at ~1 exaflop, still far below human brain (estimated ~10–20 exaflops) | Not yet     | N/A         | **Med:** Trend true but timeline optimistic                |</x:v>
      </x:c>
    </x:row>
    <x:row r="85" ht="58" customHeight="1">
      <x:c r="A85" s="17" t="str">
        <x:v>EXE-018</x:v>
      </x:c>
      <x:c r="B85" s="17" t="str">
        <x:v>candidate</x:v>
      </x:c>
      <x:c r="C85" s="17" t="str">
        <x:v>Executive Summary.txt</x:v>
      </x:c>
      <x:c r="D85" s="17" t="n">
        <x:v>40</x:v>
      </x:c>
      <x:c r="E85" s="17" t="str">
        <x:v>“By around 2020 the same capacity will be available for \$1,000”【22†L381-L389】</x:v>
      </x:c>
      <x:c r="F85" s="17" t="str"/>
      <x:c r="G85" s="17" t="str">
        <x:v>*The Singularity Is Near* (2005)</x:v>
      </x:c>
      <x:c r="H85" s="17" t="str">
        <x:v>~2020</x:v>
      </x:c>
      <x:c r="I85" s="17" t="str">
        <x:v>AI / Computing</x:v>
      </x:c>
      <x:c r="J85" s="17" t="str">
        <x:v>On/early</x:v>
      </x:c>
      <x:c r="K85" s="17" t="str">
        <x:v>\$1000 GPUs (2020s) approach ~100 PF; brain ~1000 PF, getting closer by ~2023</x:v>
      </x:c>
      <x:c r="L85" s="17" t="str">
        <x:v>–2–+2</x:v>
      </x:c>
      <x:c r="M85" s="17" t="str">
        <x:v>**Med:** On track (GPUs have reached this ballpark ~2022)</x:v>
      </x:c>
      <x:c r="N85" s="17" t="str"/>
      <x:c r="O85" s="17" t="str"/>
      <x:c r="P85" s="17"/>
      <x:c r="Q85" s="17"/>
      <x:c r="R85" s="17" t="str">
        <x:v>| “By around 2020 the same capacity will be available for \$1,000”【22†L381-L389】              | *The Singularity Is Near* (2005)     | ~2020                  | AI / Computing       | \$1000 GPUs (2020s) approach ~100 PF; brain ~1000 PF, getting closer by ~2023 | On/early    | –2–+2       | **Med:** On track (GPUs have reached this ballpark ~2022)  |</x:v>
      </x:c>
    </x:row>
    <x:row r="86" ht="58" customHeight="1">
      <x:c r="A86" s="17" t="str">
        <x:v>EXE-019</x:v>
      </x:c>
      <x:c r="B86" s="17" t="str">
        <x:v>candidate</x:v>
      </x:c>
      <x:c r="C86" s="17" t="str">
        <x:v>Executive Summary.txt</x:v>
      </x:c>
      <x:c r="D86" s="17" t="n">
        <x:v>41</x:v>
      </x:c>
      <x:c r="E86" s="17" t="str">
        <x:v>“By mid-2020s an effective model of human intelligence via brain scanning”【22†L384-L387】</x:v>
      </x:c>
      <x:c r="F86" s="17" t="str"/>
      <x:c r="G86" s="17" t="str">
        <x:v>*The Singularity Is Near* (2005)</x:v>
      </x:c>
      <x:c r="H86" s="17" t="str">
        <x:v>mid-2020s</x:v>
      </x:c>
      <x:c r="I86" s="17" t="str">
        <x:v>Neuroscience / AI</x:v>
      </x:c>
      <x:c r="J86" s="17" t="str">
        <x:v>Late</x:v>
      </x:c>
      <x:c r="K86" s="17" t="str">
        <x:v>Projects like the Human Brain Project, advanced MRI, but no full emulation by 2025</x:v>
      </x:c>
      <x:c r="L86" s="17" t="str">
        <x:v>+?</x:v>
      </x:c>
      <x:c r="M86" s="17" t="str">
        <x:v>**Low:** Ongoing research; no consensus brain model yet</x:v>
      </x:c>
      <x:c r="N86" s="17" t="str"/>
      <x:c r="O86" s="17" t="str"/>
      <x:c r="P86" s="17"/>
      <x:c r="Q86" s="17"/>
      <x:c r="R86" s="17" t="str">
        <x:v>| “By mid-2020s an effective model of human intelligence via brain scanning”【22†L384-L387】 | *The Singularity Is Near* (2005)    | mid-2020s             | Neuroscience / AI    | Projects like the Human Brain Project, advanced MRI, but no full emulation by 2025 | Late        | +?          | **Low:** Ongoing research; no consensus brain model yet    |</x:v>
      </x:c>
    </x:row>
    <x:row r="87" ht="58" customHeight="1">
      <x:c r="A87" s="17" t="str">
        <x:v>EXE-020</x:v>
      </x:c>
      <x:c r="B87" s="17" t="str">
        <x:v>candidate</x:v>
      </x:c>
      <x:c r="C87" s="17" t="str">
        <x:v>Executive Summary.txt</x:v>
      </x:c>
      <x:c r="D87" s="17" t="n">
        <x:v>42</x:v>
      </x:c>
      <x:c r="E87" s="17" t="str">
        <x:v>“Computers will pass the Turing test by 2029”【22†L384-L387】【79†L692-L700】</x:v>
      </x:c>
      <x:c r="F87" s="17" t="str"/>
      <x:c r="G87" s="17" t="str">
        <x:v>*Singularity Is Near* (2005) &amp; *Ray Kurzweil (1999)*</x:v>
      </x:c>
      <x:c r="H87" s="17" t="str">
        <x:v>2029</x:v>
      </x:c>
      <x:c r="I87" s="17" t="str">
        <x:v>AI / Turing</x:v>
      </x:c>
      <x:c r="J87" s="17" t="str">
        <x:v>On Time</x:v>
      </x:c>
      <x:c r="K87" s="17" t="str">
        <x:v>Chatbots like GPT-4 (2023) have fooled some judges; formal Turing success remains debated</x:v>
      </x:c>
      <x:c r="L87" s="17" t="str">
        <x:v>0</x:v>
      </x:c>
      <x:c r="M87" s="17" t="str">
        <x:v>**Med:** Conditions unclear; loosely on target if claims count</x:v>
      </x:c>
      <x:c r="N87" s="17" t="str"/>
      <x:c r="O87" s="17" t="str"/>
      <x:c r="P87" s="17"/>
      <x:c r="Q87" s="17"/>
      <x:c r="R87" s="17" t="str">
        <x:v>| “Computers will pass the Turing test by 2029”【22†L384-L387】【79†L692-L700】                 | *Singularity Is Near* (2005) &amp; *Ray Kurzweil (1999)* | 2029             | AI / Turing         | Chatbots like GPT-4 (2023) have fooled some judges; formal Turing success remains debated | On Time     | 0           | **Med:** Conditions unclear; loosely on target if claims count |</x:v>
      </x:c>
    </x:row>
    <x:row r="88" ht="58" customHeight="1">
      <x:c r="A88" s="17" t="str">
        <x:v>EXE-021</x:v>
      </x:c>
      <x:c r="B88" s="17" t="str">
        <x:v>candidate</x:v>
      </x:c>
      <x:c r="C88" s="17" t="str">
        <x:v>Executive Summary.txt</x:v>
      </x:c>
      <x:c r="D88" s="17" t="n">
        <x:v>43</x:v>
      </x:c>
      <x:c r="E88" s="17" t="str">
        <x:v>“By early 2030s, human and machine intelligence integrated” (hybrid intelligence)【79†L692-L700】</x:v>
      </x:c>
      <x:c r="F88" s="17" t="str"/>
      <x:c r="G88" s="17" t="str">
        <x:v>*Ray Kurzweil (2008)* panel &amp; later interviews</x:v>
      </x:c>
      <x:c r="H88" s="17" t="str">
        <x:v>2030s</x:v>
      </x:c>
      <x:c r="I88" s="17" t="str">
        <x:v>AI / Neurosci</x:v>
      </x:c>
      <x:c r="J88" s="17" t="str">
        <x:v>On track</x:v>
      </x:c>
      <x:c r="K88" s="17" t="str">
        <x:v>Brain–computer interfaces (Neuralink trials ~2024); partial hybridization in progress</x:v>
      </x:c>
      <x:c r="L88" s="17" t="str">
        <x:v>0–?</x:v>
      </x:c>
      <x:c r="M88" s="17" t="str">
        <x:v>**Low:** Vague; human-AI integration just beginning</x:v>
      </x:c>
      <x:c r="N88" s="17" t="str"/>
      <x:c r="O88" s="17" t="str"/>
      <x:c r="P88" s="17"/>
      <x:c r="Q88" s="17"/>
      <x:c r="R88" s="17" t="str">
        <x:v>| “By early 2030s, human and machine intelligence integrated” (hybrid intelligence)【79†L692-L700】 | *Ray Kurzweil (2008)* panel &amp; later interviews | 2030s          | AI / Neurosci      | Brain–computer interfaces (Neuralink trials ~2024); partial hybridization in progress | On track    | 0–?         | **Low:** Vague; human-AI integration just beginning       |</x:v>
      </x:c>
    </x:row>
    <x:row r="89" ht="58" customHeight="1">
      <x:c r="A89" s="17" t="str">
        <x:v>EXE-022</x:v>
      </x:c>
      <x:c r="B89" s="17" t="str">
        <x:v>candidate</x:v>
      </x:c>
      <x:c r="C89" s="17" t="str">
        <x:v>Executive Summary.txt</x:v>
      </x:c>
      <x:c r="D89" s="17" t="n">
        <x:v>44</x:v>
      </x:c>
      <x:c r="E89" s="17" t="str">
        <x:v>“It will take \$1,000 to equal 1000 human brains by 2029”【63†L392-L399】</x:v>
      </x:c>
      <x:c r="F89" s="17" t="str"/>
      <x:c r="G89" s="17" t="str">
        <x:v>*The Age of Spiritual Machines* (1999)</x:v>
      </x:c>
      <x:c r="H89" s="17" t="str">
        <x:v>2029</x:v>
      </x:c>
      <x:c r="I89" s="17" t="str">
        <x:v>AI / Computing</x:v>
      </x:c>
      <x:c r="J89" s="17" t="str">
        <x:v>On track</x:v>
      </x:c>
      <x:c r="K89" s="17" t="str">
        <x:v>Appears roughly on track: GPUs ~\$1000 now ~10–100 PF; brain ~1000 PF, expected ~2025–2030</x:v>
      </x:c>
      <x:c r="L89" s="17" t="str">
        <x:v>0</x:v>
      </x:c>
      <x:c r="M89" s="17" t="str">
        <x:v>**Med:** Depends on conversion, but trend seems valid</x:v>
      </x:c>
      <x:c r="N89" s="17" t="str"/>
      <x:c r="O89" s="17" t="str"/>
      <x:c r="P89" s="17"/>
      <x:c r="Q89" s="17"/>
      <x:c r="R89" s="17" t="str">
        <x:v>| “It will take \$1,000 to equal 1000 human brains by 2029”【63†L392-L399】                   | *The Age of Spiritual Machines* (1999) | 2029                  | AI / Computing       | Appears roughly on track: GPUs ~\$1000 now ~10–100 PF; brain ~1000 PF, expected ~2025–2030 | On track    | 0           | **Med:** Depends on conversion, but trend seems valid     |</x:v>
      </x:c>
    </x:row>
    <x:row r="90" ht="58" customHeight="1">
      <x:c r="A90" s="17" t="str">
        <x:v>EXE-023</x:v>
      </x:c>
      <x:c r="B90" s="17" t="str">
        <x:v>candidate</x:v>
      </x:c>
      <x:c r="C90" s="17" t="str">
        <x:v>Executive Summary.txt</x:v>
      </x:c>
      <x:c r="D90" s="17" t="n">
        <x:v>45</x:v>
      </x:c>
      <x:c r="E90" s="17" t="str">
        <x:v>“Universal basic income in developed world by early 2030s, worldwide by late 2030s”【79†L624-L627】</x:v>
      </x:c>
      <x:c r="F90" s="17" t="str"/>
      <x:c r="G90" s="17" t="str">
        <x:v>*Ray Kurzweil (2018 TED Talk)*</x:v>
      </x:c>
      <x:c r="H90" s="17" t="str">
        <x:v>early 2030s</x:v>
      </x:c>
      <x:c r="I90" s="17" t="str">
        <x:v>Economics / Social</x:v>
      </x:c>
      <x:c r="J90" s="17" t="str">
        <x:v>Too early</x:v>
      </x:c>
      <x:c r="K90" s="17" t="str">
        <x:v>Some UBI pilots exist (Finland 2017, etc.), no general adoption as of 2025</x:v>
      </x:c>
      <x:c r="L90" s="17" t="str">
        <x:v>N/A</x:v>
      </x:c>
      <x:c r="M90" s="17" t="str">
        <x:v>**Low:** Speculative, sociopolitical factor</x:v>
      </x:c>
      <x:c r="N90" s="17" t="str"/>
      <x:c r="O90" s="17" t="str"/>
      <x:c r="P90" s="17"/>
      <x:c r="Q90" s="17"/>
      <x:c r="R90" s="17" t="str">
        <x:v>| “Universal basic income in developed world by early 2030s, worldwide by late 2030s”【79†L624-L627】 | *Ray Kurzweil (2018 TED Talk)*        | early 2030s           | Economics / Social    | Some UBI pilots exist (Finland 2017, etc.), no general adoption as of 2025 | Too early   | N/A         | **Low:** Speculative, sociopolitical factor                |</x:v>
      </x:c>
    </x:row>
    <x:row r="91" ht="58" customHeight="1">
      <x:c r="A91" s="17" t="str">
        <x:v>EXE-024</x:v>
      </x:c>
      <x:c r="B91" s="17" t="str">
        <x:v>aggregate</x:v>
      </x:c>
      <x:c r="C91" s="17" t="str">
        <x:v>Executive Summary.txt</x:v>
      </x:c>
      <x:c r="D91" s="17" t="n">
        <x:v>46</x:v>
      </x:c>
      <x:c r="E91" s="17" t="str">
        <x:v>**Aggregate (2010s)** – exponential AI and biotech trends</x:v>
      </x:c>
      <x:c r="F91" s="17" t="str"/>
      <x:c r="G91" s="17" t="str">
        <x:v>Various (2005–2018)</x:v>
      </x:c>
      <x:c r="H91" s="17" t="str">
        <x:v>2010s–2020s</x:v>
      </x:c>
      <x:c r="I91" s="17" t="str">
        <x:v>Multiple</x:v>
      </x:c>
      <x:c r="J91" s="17" t="str">
        <x:v>Mixed</x:v>
      </x:c>
      <x:c r="K91" s="17" t="str">
        <x:v>Cloud/AI boom, some neuroscience advances, but key biotech (cures, longevity) not as fast</x:v>
      </x:c>
      <x:c r="L91" s="17" t="str">
        <x:v>–</x:v>
      </x:c>
      <x:c r="M91" s="17" t="str">
        <x:v>**Med:** Many trends continue, some predictions pending</x:v>
      </x:c>
      <x:c r="N91" s="17" t="str"/>
      <x:c r="O91" s="17" t="str"/>
      <x:c r="P91" s="17"/>
      <x:c r="Q91" s="17"/>
      <x:c r="R91" s="17" t="str">
        <x:v>| **Aggregate (2010s)** – exponential AI and biotech trends                                         | Various (2005–2018)                  | 2010s–2020s          | Multiple           | Cloud/AI boom, some neuroscience advances, but key biotech (cures, longevity) not as fast | Mixed       | –            | **Med:** Many trends continue, some predictions pending   |</x:v>
      </x:c>
    </x:row>
    <x:row r="92" ht="58" customHeight="1">
      <x:c r="A92" s="17" t="str">
        <x:v>EXE-025</x:v>
      </x:c>
      <x:c r="B92" s="17" t="str">
        <x:v>candidate</x:v>
      </x:c>
      <x:c r="C92" s="17" t="str">
        <x:v>Executive Summary.txt</x:v>
      </x:c>
      <x:c r="D92" s="17" t="n">
        <x:v>52</x:v>
      </x:c>
      <x:c r="E92" s="17" t="str">
        <x:v>“During the 2020s, AI plus biotechnology will cure most chronic degenerative diseases”【24†L169-L174】</x:v>
      </x:c>
      <x:c r="F92" s="17" t="str"/>
      <x:c r="G92" s="17" t="str">
        <x:v>*Singularity Is Nearer* (2024)</x:v>
      </x:c>
      <x:c r="H92" s="17" t="str">
        <x:v>2020s</x:v>
      </x:c>
      <x:c r="I92" s="17" t="str">
        <x:v>Biotech / AI</x:v>
      </x:c>
      <x:c r="J92" s="17" t="str">
        <x:v>On track?</x:v>
      </x:c>
      <x:c r="K92" s="17" t="str">
        <x:v>AI has helped drug discovery; progress on Alzheimer’s, but most diseases not “cured” by 2025</x:v>
      </x:c>
      <x:c r="L92" s="17" t="str">
        <x:v>±?</x:v>
      </x:c>
      <x:c r="M92" s="17" t="str">
        <x:v>**Low:** Very optimistic; emerging therapies but still early</x:v>
      </x:c>
      <x:c r="N92" s="17" t="str"/>
      <x:c r="O92" s="17" t="str"/>
      <x:c r="P92" s="17"/>
      <x:c r="Q92" s="17"/>
      <x:c r="R92" s="17" t="str">
        <x:v>| “During the 2020s, AI plus biotechnology will cure most chronic degenerative diseases”【24†L169-L174】 | *Singularity Is Nearer* (2024)      | 2020s                 | Biotech / AI        | AI has helped drug discovery; progress on Alzheimer’s, but most diseases not “cured” by 2025 | On track?    | ±?       | **Low:** Very optimistic; emerging therapies but still early |</x:v>
      </x:c>
    </x:row>
    <x:row r="93" ht="58" customHeight="1">
      <x:c r="A93" s="17" t="str">
        <x:v>EXE-026</x:v>
      </x:c>
      <x:c r="B93" s="17" t="str">
        <x:v>candidate</x:v>
      </x:c>
      <x:c r="C93" s="17" t="str">
        <x:v>Executive Summary.txt</x:v>
      </x:c>
      <x:c r="D93" s="17" t="n">
        <x:v>53</x:v>
      </x:c>
      <x:c r="E93" s="17" t="str">
        <x:v>“By the mid-2020s, AI can model the human mind; by 2030s life extenda” (implied continuation)</x:v>
      </x:c>
      <x:c r="F93" s="17" t="str"/>
      <x:c r="G93" s="17" t="str">
        <x:v>*Various Kurzweil interviews (2020–24)*</x:v>
      </x:c>
      <x:c r="H93" s="17" t="str">
        <x:v>2025–2035</x:v>
      </x:c>
      <x:c r="I93" s="17" t="str">
        <x:v>Neuroscience / Longevity</x:v>
      </x:c>
      <x:c r="J93" s="17" t="str">
        <x:v>Not yet</x:v>
      </x:c>
      <x:c r="K93" s="17" t="str">
        <x:v>Brain mapping (connectome) projects ongoing; life expectancy inching up (global ~73 yrs 2020)</x:v>
      </x:c>
      <x:c r="L93" s="17" t="str">
        <x:v>N/A</x:v>
      </x:c>
      <x:c r="M93" s="17" t="str">
        <x:v>**Low:** Based on exponential extrapolation; unproven</x:v>
      </x:c>
      <x:c r="N93" s="17" t="str"/>
      <x:c r="O93" s="17" t="str"/>
      <x:c r="P93" s="17"/>
      <x:c r="Q93" s="17"/>
      <x:c r="R93" s="17" t="str">
        <x:v>| “By the mid-2020s, AI can model the human mind; by 2030s life extenda” (implied continuation)      | *Various Kurzweil interviews (2020–24)* | 2025–2035           | Neuroscience / Longevity | Brain mapping (connectome) projects ongoing; life expectancy inching up (global ~73 yrs 2020) | Not yet      | N/A      | **Low:** Based on exponential extrapolation; unproven       |</x:v>
      </x:c>
    </x:row>
    <x:row r="94" ht="58" customHeight="1">
      <x:c r="A94" s="17" t="str">
        <x:v>EXE-027</x:v>
      </x:c>
      <x:c r="B94" s="17" t="str">
        <x:v>aggregate</x:v>
      </x:c>
      <x:c r="C94" s="17" t="str">
        <x:v>Executive Summary.txt</x:v>
      </x:c>
      <x:c r="D94" s="17" t="n">
        <x:v>54</x:v>
      </x:c>
      <x:c r="E94" s="17" t="str">
        <x:v>**Aggregate (2020s)** – rapid AI progress, early brain–cloud interface</x:v>
      </x:c>
      <x:c r="F94" s="17" t="str"/>
      <x:c r="G94" s="17" t="str">
        <x:v>Various (2020–2024)</x:v>
      </x:c>
      <x:c r="H94" s="17" t="str">
        <x:v>2020s</x:v>
      </x:c>
      <x:c r="I94" s="17" t="str">
        <x:v>Multiple</x:v>
      </x:c>
      <x:c r="J94" s="17" t="str">
        <x:v>On-going</x:v>
      </x:c>
      <x:c r="K94" s="17" t="str">
        <x:v>Generative AI surge (2022–2024), neural BCI trials (2023), longevity/personal health trackers</x:v>
      </x:c>
      <x:c r="L94" s="17" t="str">
        <x:v>–</x:v>
      </x:c>
      <x:c r="M94" s="17" t="str">
        <x:v>**Med:** Early trends strong, but many predictions still ahead</x:v>
      </x:c>
      <x:c r="N94" s="17" t="str"/>
      <x:c r="O94" s="17" t="str"/>
      <x:c r="P94" s="17"/>
      <x:c r="Q94" s="17"/>
      <x:c r="R94" s="17" t="str">
        <x:v>| **Aggregate (2020s)** – rapid AI progress, early brain–cloud interface                           | Various (2020–2024)                 | 2020s                | Multiple          | Generative AI surge (2022–2024), neural BCI trials (2023), longevity/personal health trackers | On-going     | –         | **Med:** Early trends strong, but many predictions still ahead |</x:v>
      </x:c>
    </x:row>
    <x:row r="95" ht="58" customHeight="1">
      <x:c r="A95" s="17" t="str">
        <x:v>EXE-028</x:v>
      </x:c>
      <x:c r="B95" s="17" t="str">
        <x:v>candidate</x:v>
      </x:c>
      <x:c r="C95" s="17" t="str">
        <x:v>Executive Summary.txt</x:v>
      </x:c>
      <x:c r="D95" s="17" t="n">
        <x:v>60</x:v>
      </x:c>
      <x:c r="E95" s="17" t="str">
        <x:v>“By 2045 the Singularity: computing power ~10^9× human brain, humans merged with machines”【24†L169-L174】【81†L537-L541】</x:v>
      </x:c>
      <x:c r="F95" s="17" t="str"/>
      <x:c r="G95" s="17" t="str">
        <x:v>*Singularity Is Near* (2005); AIS Health (2016)</x:v>
      </x:c>
      <x:c r="H95" s="17" t="str">
        <x:v>2045</x:v>
      </x:c>
      <x:c r="I95" s="17" t="str">
        <x:v>AI / Singularity</x:v>
      </x:c>
      <x:c r="J95" s="17" t="str">
        <x:v>N/A</x:v>
      </x:c>
      <x:c r="K95" s="17" t="str">
        <x:v>(Future)</x:v>
      </x:c>
      <x:c r="L95" s="17" t="str">
        <x:v>N/A</x:v>
      </x:c>
      <x:c r="M95" s="17" t="str">
        <x:v>**Low:** Bold claim; unverifiable until then</x:v>
      </x:c>
      <x:c r="N95" s="17" t="str"/>
      <x:c r="O95" s="17" t="str"/>
      <x:c r="P95" s="17"/>
      <x:c r="Q95" s="17"/>
      <x:c r="R95" s="17" t="str">
        <x:v>| “By 2045 the Singularity: computing power ~10^9× human brain, humans merged with machines”【24†L169-L174】【81†L537-L541】 | *Singularity Is Near* (2005); AIS Health (2016) | 2045                  | AI / Singularity    | (Future)                     | N/A           | N/A      | **Low:** Bold claim; unverifiable until then   |</x:v>
      </x:c>
    </x:row>
    <x:row r="96" ht="58" customHeight="1">
      <x:c r="A96" s="17" t="str">
        <x:v>EXE-029</x:v>
      </x:c>
      <x:c r="B96" s="17" t="str">
        <x:v>candidate</x:v>
      </x:c>
      <x:c r="C96" s="17" t="str">
        <x:v>Executive Summary.txt</x:v>
      </x:c>
      <x:c r="D96" s="17" t="n">
        <x:v>61</x:v>
      </x:c>
      <x:c r="E96" s="17" t="str">
        <x:v>“By 2050 average human lifespan 150 years” (implied from interview claims)【19†L123-L130】</x:v>
      </x:c>
      <x:c r="F96" s="17" t="str"/>
      <x:c r="G96" s="17" t="str">
        <x:v>*Scientific American / Singularity Is Nearer (2024)*</x:v>
      </x:c>
      <x:c r="H96" s="17" t="str">
        <x:v>2050</x:v>
      </x:c>
      <x:c r="I96" s="17" t="str">
        <x:v>Longevity</x:v>
      </x:c>
      <x:c r="J96" s="17" t="str">
        <x:v>N/A</x:v>
      </x:c>
      <x:c r="K96" s="17" t="str">
        <x:v>(Future)</x:v>
      </x:c>
      <x:c r="L96" s="17" t="str">
        <x:v>N/A</x:v>
      </x:c>
      <x:c r="M96" s="17" t="str">
        <x:v>**Low:** Extremely ambitious; no sign by 2025</x:v>
      </x:c>
      <x:c r="N96" s="17" t="str"/>
      <x:c r="O96" s="17" t="str"/>
      <x:c r="P96" s="17"/>
      <x:c r="Q96" s="17"/>
      <x:c r="R96" s="17" t="str">
        <x:v>| “By 2050 average human lifespan 150 years” (implied from interview claims)【19†L123-L130】       | *Scientific American / Singularity Is Nearer (2024)* | 2050                  | Longevity         | (Future)                     | N/A           | N/A      | **Low:** Extremely ambitious; no sign by 2025  |</x:v>
      </x:c>
    </x:row>
    <x:row r="97" ht="58" customHeight="1">
      <x:c r="A97" s="17" t="str">
        <x:v>EXE-030</x:v>
      </x:c>
      <x:c r="B97" s="17" t="str">
        <x:v>candidate</x:v>
      </x:c>
      <x:c r="C97" s="17" t="str">
        <x:v>Executive Summary.txt</x:v>
      </x:c>
      <x:c r="D97" s="17" t="n">
        <x:v>62</x:v>
      </x:c>
      <x:c r="E97" s="17" t="str">
        <x:v>“By ~2030s, universal brain-computer interface and brain-uploading begin”【79†L692-L700】【81†L537-L541】</x:v>
      </x:c>
      <x:c r="F97" s="17" t="str"/>
      <x:c r="G97" s="17" t="str">
        <x:v>*Ray Kurzweil talks/interviews (2010s–20s)*</x:v>
      </x:c>
      <x:c r="H97" s="17" t="str">
        <x:v>2030s</x:v>
      </x:c>
      <x:c r="I97" s="17" t="str">
        <x:v>Neuroscience/AI</x:v>
      </x:c>
      <x:c r="J97" s="17" t="str">
        <x:v>N/A</x:v>
      </x:c>
      <x:c r="K97" s="17" t="str">
        <x:v>(Emerging)</x:v>
      </x:c>
      <x:c r="L97" s="17" t="str">
        <x:v>N/A</x:v>
      </x:c>
      <x:c r="M97" s="17" t="str">
        <x:v>**Low:** Speculative; nascent BCI tech in early trials</x:v>
      </x:c>
      <x:c r="N97" s="17" t="str"/>
      <x:c r="O97" s="17" t="str"/>
      <x:c r="P97" s="17"/>
      <x:c r="Q97" s="17"/>
      <x:c r="R97" s="17" t="str">
        <x:v>| “By ~2030s, universal brain-computer interface and brain-uploading begin”【79†L692-L700】【81†L537-L541】 | *Ray Kurzweil talks/interviews (2010s–20s)* | 2030s                 | Neuroscience/AI    | (Emerging)                 | N/A           | N/A      | **Low:** Speculative; nascent BCI tech in early trials |</x:v>
      </x:c>
    </x:row>
    <x:row r="98" ht="58" customHeight="1">
      <x:c r="A98" s="17" t="str">
        <x:v>EXE-031</x:v>
      </x:c>
      <x:c r="B98" s="17" t="str">
        <x:v>aggregate</x:v>
      </x:c>
      <x:c r="C98" s="17" t="str">
        <x:v>Executive Summary.txt</x:v>
      </x:c>
      <x:c r="D98" s="17" t="n">
        <x:v>63</x:v>
      </x:c>
      <x:c r="E98" s="17" t="str">
        <x:v>**Aggregate (2030s+)** – full VR life, human-AI merge, indefinite health</x:v>
      </x:c>
      <x:c r="F98" s="17" t="str"/>
      <x:c r="G98" s="17" t="str">
        <x:v>Various (2005–2024)</x:v>
      </x:c>
      <x:c r="H98" s="17" t="str">
        <x:v>2030s–2050s</x:v>
      </x:c>
      <x:c r="I98" s="17" t="str">
        <x:v>Multiple</x:v>
      </x:c>
      <x:c r="J98" s="17" t="str">
        <x:v>N/A</x:v>
      </x:c>
      <x:c r="K98" s="17" t="str">
        <x:v>(Future)</x:v>
      </x:c>
      <x:c r="L98" s="17" t="str">
        <x:v>N/A</x:v>
      </x:c>
      <x:c r="M98" s="17" t="str">
        <x:v>**Low:** Very long-term speculation</x:v>
      </x:c>
      <x:c r="N98" s="17" t="str"/>
      <x:c r="O98" s="17" t="str"/>
      <x:c r="P98" s="17"/>
      <x:c r="Q98" s="17"/>
      <x:c r="R98" s="17" t="str">
        <x:v>| **Aggregate (2030s+)** – full VR life, human-AI merge, indefinite health                                  | Various (2005–2024)              | 2030s–2050s         | Multiple         | (Future)                     | N/A           | N/A      | **Low:** Very long-term speculation               |</x:v>
      </x:c>
    </x:row>
  </x:sheetData>
  <x:pageMargins left="0.7" right="0.7" top="0.75" bottom="0.75" header="0.3" footer="0.3"/>
  <x:tableParts count="1">
    <x:tablePart xmlns:r="http://schemas.openxmlformats.org/officeDocument/2006/relationships" r:id="R6a330743935b418c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5" hidden="0" customWidth="1"/>
    <x:col min="3" max="3" width="19" hidden="0" customWidth="1"/>
    <x:col min="4" max="4" width="18" hidden="0" customWidth="1"/>
    <x:col min="5" max="5" width="16" hidden="0" customWidth="1"/>
    <x:col min="6" max="6" width="20" hidden="0" customWidth="1"/>
    <x:col min="7" max="7" width="22" hidden="0" customWidth="1"/>
    <x:col min="8" max="8" width="15" hidden="0" customWidth="1"/>
    <x:col min="9" max="9" width="16" hidden="0" customWidth="1"/>
    <x:col min="10" max="10" width="16" hidden="0" customWidth="1"/>
  </x:cols>
  <x:sheetData>
    <x:row r="1" ht="32" customHeight="1">
      <x:c r="A1" s="58" t="str">
        <x:v>BY CATEGORY</x:v>
      </x:c>
      <x:c r="B1" s="7"/>
      <x:c r="C1" s="7"/>
      <x:c r="D1" s="7"/>
      <x:c r="E1" s="7"/>
      <x:c r="F1" s="7"/>
      <x:c r="G1" s="7"/>
      <x:c r="H1" s="7"/>
      <x:c r="I1" s="7"/>
      <x:c r="J1" s="7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32" customHeight="1">
      <x:c r="A3" s="60" t="str">
        <x:v>No accuracy percentages yet. Duplicates and unverified rows are excluded. Current draft categories are only intake labels.</x:v>
      </x:c>
      <x:c r="B3" s="25"/>
      <x:c r="C3" s="25"/>
      <x:c r="D3" s="25"/>
      <x:c r="E3" s="25"/>
      <x:c r="F3" s="25"/>
      <x:c r="G3" s="25"/>
      <x:c r="H3" s="25"/>
      <x:c r="I3" s="25"/>
      <x:c r="J3" s="25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5" ht="32" customHeight="1">
      <x:c r="A5" s="12" t="str">
        <x:v>Category</x:v>
      </x:c>
      <x:c r="B5" s="12" t="str">
        <x:v>Imported leads</x:v>
      </x:c>
      <x:c r="C5" s="12" t="str">
        <x:v>Verified canonical</x:v>
      </x:c>
      <x:c r="D5" s="12" t="str">
        <x:v>Due &amp; eligible</x:v>
      </x:c>
      <x:c r="E5" s="12" t="str">
        <x:v>On-time full</x:v>
      </x:c>
      <x:c r="F5" s="12" t="str">
        <x:v>Realized by review</x:v>
      </x:c>
      <x:c r="G5" s="12" t="str">
        <x:v>Partial (current badge)</x:v>
      </x:c>
      <x:c r="H5" s="12" t="str">
        <x:v>Pending</x:v>
      </x:c>
      <x:c r="I5" s="12" t="str">
        <x:v>On-time %</x:v>
      </x:c>
      <x:c r="J5" s="12" t="str">
        <x:v>Realized %</x:v>
      </x:c>
    </x:row>
    <x:row r="6" ht="58" customHeight="1">
      <x:c r="A6" s="17" t="str">
        <x:v>Computing hardware</x:v>
      </x:c>
      <x:c r="B6" s="17" t="n">
        <x:f>COUNTIF(Ledger!$C$6:$C$505,A6)</x:f>
        <x:v>15</x:v>
      </x:c>
      <x:c r="C6" s="17" t="n">
        <x:f>COUNTIFS(Ledger!$C$6:$C$505,A6,Ledger!$M$6:$M$505,"VERIFIED",Ledger!$N$6:$N$505,"YES")</x:f>
        <x:v>0</x:v>
      </x:c>
      <x:c r="D6" s="17" t="n">
        <x:f>SUMIF(Ledger!$C$6:$C$505,A6,Ledger!$AC$6:$AC$505)</x:f>
        <x:v>0</x:v>
      </x:c>
      <x:c r="E6" s="17" t="n">
        <x:f>SUMIF(Ledger!$C$6:$C$505,A6,Ledger!$AD$6:$AD$505)</x:f>
        <x:v>0</x:v>
      </x:c>
      <x:c r="F6" s="17" t="n">
        <x:f>SUMIF(Ledger!$C$6:$C$505,A6,Ledger!$AE$6:$AE$505)</x:f>
        <x:v>0</x:v>
      </x:c>
      <x:c r="G6" s="17" t="n">
        <x:f>COUNTIFS(Ledger!$C$6:$C$505,A6,Ledger!$AC$6:$AC$505,1,Ledger!$Z$6:$Z$505,"PARTIAL")</x:f>
        <x:v>0</x:v>
      </x:c>
      <x:c r="H6" s="17" t="n">
        <x:f>COUNTIFS(Ledger!$C$6:$C$505,A6,Ledger!$M$6:$M$505,"VERIFIED",Ledger!$N$6:$N$505,"YES",Ledger!$Z$6:$Z$505,"PENDING")</x:f>
        <x:v>0</x:v>
      </x:c>
      <x:c r="I6" s="32" t="str">
        <x:f>IF(D6=0,"",E6/D6)</x:f>
      </x:c>
      <x:c r="J6" s="32" t="str">
        <x:f>IF(D6=0,"",F6/D6)</x:f>
      </x:c>
    </x:row>
    <x:row r="7" ht="58" customHeight="1">
      <x:c r="A7" s="17" t="str">
        <x:v>Networks &amp; communications</x:v>
      </x:c>
      <x:c r="B7" s="17" t="n">
        <x:f>COUNTIF(Ledger!$C$6:$C$505,A7)</x:f>
        <x:v>5</x:v>
      </x:c>
      <x:c r="C7" s="17" t="n">
        <x:f>COUNTIFS(Ledger!$C$6:$C$505,A7,Ledger!$M$6:$M$505,"VERIFIED",Ledger!$N$6:$N$505,"YES")</x:f>
        <x:v>0</x:v>
      </x:c>
      <x:c r="D7" s="17" t="n">
        <x:f>SUMIF(Ledger!$C$6:$C$505,A7,Ledger!$AC$6:$AC$505)</x:f>
        <x:v>0</x:v>
      </x:c>
      <x:c r="E7" s="17" t="n">
        <x:f>SUMIF(Ledger!$C$6:$C$505,A7,Ledger!$AD$6:$AD$505)</x:f>
        <x:v>0</x:v>
      </x:c>
      <x:c r="F7" s="17" t="n">
        <x:f>SUMIF(Ledger!$C$6:$C$505,A7,Ledger!$AE$6:$AE$505)</x:f>
        <x:v>0</x:v>
      </x:c>
      <x:c r="G7" s="17" t="n">
        <x:f>COUNTIFS(Ledger!$C$6:$C$505,A7,Ledger!$AC$6:$AC$505,1,Ledger!$Z$6:$Z$505,"PARTIAL")</x:f>
        <x:v>0</x:v>
      </x:c>
      <x:c r="H7" s="17" t="n">
        <x:f>COUNTIFS(Ledger!$C$6:$C$505,A7,Ledger!$M$6:$M$505,"VERIFIED",Ledger!$N$6:$N$505,"YES",Ledger!$Z$6:$Z$505,"PENDING")</x:f>
        <x:v>0</x:v>
      </x:c>
      <x:c r="I7" s="32" t="str">
        <x:f>IF(D7=0,"",E7/D7)</x:f>
      </x:c>
      <x:c r="J7" s="32" t="str">
        <x:f>IF(D7=0,"",F7/D7)</x:f>
      </x:c>
    </x:row>
    <x:row r="8" ht="58" customHeight="1">
      <x:c r="A8" s="17" t="str">
        <x:v>AI &amp; software</x:v>
      </x:c>
      <x:c r="B8" s="17" t="n">
        <x:f>COUNTIF(Ledger!$C$6:$C$505,A8)</x:f>
        <x:v>21</x:v>
      </x:c>
      <x:c r="C8" s="17" t="n">
        <x:f>COUNTIFS(Ledger!$C$6:$C$505,A8,Ledger!$M$6:$M$505,"VERIFIED",Ledger!$N$6:$N$505,"YES")</x:f>
        <x:v>0</x:v>
      </x:c>
      <x:c r="D8" s="17" t="n">
        <x:f>SUMIF(Ledger!$C$6:$C$505,A8,Ledger!$AC$6:$AC$505)</x:f>
        <x:v>0</x:v>
      </x:c>
      <x:c r="E8" s="17" t="n">
        <x:f>SUMIF(Ledger!$C$6:$C$505,A8,Ledger!$AD$6:$AD$505)</x:f>
        <x:v>0</x:v>
      </x:c>
      <x:c r="F8" s="17" t="n">
        <x:f>SUMIF(Ledger!$C$6:$C$505,A8,Ledger!$AE$6:$AE$505)</x:f>
        <x:v>0</x:v>
      </x:c>
      <x:c r="G8" s="17" t="n">
        <x:f>COUNTIFS(Ledger!$C$6:$C$505,A8,Ledger!$AC$6:$AC$505,1,Ledger!$Z$6:$Z$505,"PARTIAL")</x:f>
        <x:v>0</x:v>
      </x:c>
      <x:c r="H8" s="17" t="n">
        <x:f>COUNTIFS(Ledger!$C$6:$C$505,A8,Ledger!$M$6:$M$505,"VERIFIED",Ledger!$N$6:$N$505,"YES",Ledger!$Z$6:$Z$505,"PENDING")</x:f>
        <x:v>0</x:v>
      </x:c>
      <x:c r="I8" s="32" t="str">
        <x:f>IF(D8=0,"",E8/D8)</x:f>
      </x:c>
      <x:c r="J8" s="32" t="str">
        <x:f>IF(D8=0,"",F8/D8)</x:f>
      </x:c>
    </x:row>
    <x:row r="9" ht="58" customHeight="1">
      <x:c r="A9" s="17" t="str">
        <x:v>Interfaces &amp; virtual worlds</x:v>
      </x:c>
      <x:c r="B9" s="17" t="n">
        <x:f>COUNTIF(Ledger!$C$6:$C$505,A9)</x:f>
        <x:v>12</x:v>
      </x:c>
      <x:c r="C9" s="17" t="n">
        <x:f>COUNTIFS(Ledger!$C$6:$C$505,A9,Ledger!$M$6:$M$505,"VERIFIED",Ledger!$N$6:$N$505,"YES")</x:f>
        <x:v>0</x:v>
      </x:c>
      <x:c r="D9" s="17" t="n">
        <x:f>SUMIF(Ledger!$C$6:$C$505,A9,Ledger!$AC$6:$AC$505)</x:f>
        <x:v>0</x:v>
      </x:c>
      <x:c r="E9" s="17" t="n">
        <x:f>SUMIF(Ledger!$C$6:$C$505,A9,Ledger!$AD$6:$AD$505)</x:f>
        <x:v>0</x:v>
      </x:c>
      <x:c r="F9" s="17" t="n">
        <x:f>SUMIF(Ledger!$C$6:$C$505,A9,Ledger!$AE$6:$AE$505)</x:f>
        <x:v>0</x:v>
      </x:c>
      <x:c r="G9" s="17" t="n">
        <x:f>COUNTIFS(Ledger!$C$6:$C$505,A9,Ledger!$AC$6:$AC$505,1,Ledger!$Z$6:$Z$505,"PARTIAL")</x:f>
        <x:v>0</x:v>
      </x:c>
      <x:c r="H9" s="17" t="n">
        <x:f>COUNTIFS(Ledger!$C$6:$C$505,A9,Ledger!$M$6:$M$505,"VERIFIED",Ledger!$N$6:$N$505,"YES",Ledger!$Z$6:$Z$505,"PENDING")</x:f>
        <x:v>0</x:v>
      </x:c>
      <x:c r="I9" s="32" t="str">
        <x:f>IF(D9=0,"",E9/D9)</x:f>
      </x:c>
      <x:c r="J9" s="32" t="str">
        <x:f>IF(D9=0,"",F9/D9)</x:f>
      </x:c>
    </x:row>
    <x:row r="10" ht="58" customHeight="1">
      <x:c r="A10" s="17" t="str">
        <x:v>Biology &amp; medicine</x:v>
      </x:c>
      <x:c r="B10" s="17" t="n">
        <x:f>COUNTIF(Ledger!$C$6:$C$505,A10)</x:f>
        <x:v>9</x:v>
      </x:c>
      <x:c r="C10" s="17" t="n">
        <x:f>COUNTIFS(Ledger!$C$6:$C$505,A10,Ledger!$M$6:$M$505,"VERIFIED",Ledger!$N$6:$N$505,"YES")</x:f>
        <x:v>0</x:v>
      </x:c>
      <x:c r="D10" s="17" t="n">
        <x:f>SUMIF(Ledger!$C$6:$C$505,A10,Ledger!$AC$6:$AC$505)</x:f>
        <x:v>0</x:v>
      </x:c>
      <x:c r="E10" s="17" t="n">
        <x:f>SUMIF(Ledger!$C$6:$C$505,A10,Ledger!$AD$6:$AD$505)</x:f>
        <x:v>0</x:v>
      </x:c>
      <x:c r="F10" s="17" t="n">
        <x:f>SUMIF(Ledger!$C$6:$C$505,A10,Ledger!$AE$6:$AE$505)</x:f>
        <x:v>0</x:v>
      </x:c>
      <x:c r="G10" s="17" t="n">
        <x:f>COUNTIFS(Ledger!$C$6:$C$505,A10,Ledger!$AC$6:$AC$505,1,Ledger!$Z$6:$Z$505,"PARTIAL")</x:f>
        <x:v>0</x:v>
      </x:c>
      <x:c r="H10" s="17" t="n">
        <x:f>COUNTIFS(Ledger!$C$6:$C$505,A10,Ledger!$M$6:$M$505,"VERIFIED",Ledger!$N$6:$N$505,"YES",Ledger!$Z$6:$Z$505,"PENDING")</x:f>
        <x:v>0</x:v>
      </x:c>
      <x:c r="I10" s="32" t="str">
        <x:f>IF(D10=0,"",E10/D10)</x:f>
      </x:c>
      <x:c r="J10" s="32" t="str">
        <x:f>IF(D10=0,"",F10/D10)</x:f>
      </x:c>
    </x:row>
    <x:row r="11" ht="58" customHeight="1">
      <x:c r="A11" s="17" t="str">
        <x:v>Longevity</x:v>
      </x:c>
      <x:c r="B11" s="17" t="n">
        <x:f>COUNTIF(Ledger!$C$6:$C$505,A11)</x:f>
        <x:v>5</x:v>
      </x:c>
      <x:c r="C11" s="17" t="n">
        <x:f>COUNTIFS(Ledger!$C$6:$C$505,A11,Ledger!$M$6:$M$505,"VERIFIED",Ledger!$N$6:$N$505,"YES")</x:f>
        <x:v>0</x:v>
      </x:c>
      <x:c r="D11" s="17" t="n">
        <x:f>SUMIF(Ledger!$C$6:$C$505,A11,Ledger!$AC$6:$AC$505)</x:f>
        <x:v>0</x:v>
      </x:c>
      <x:c r="E11" s="17" t="n">
        <x:f>SUMIF(Ledger!$C$6:$C$505,A11,Ledger!$AD$6:$AD$505)</x:f>
        <x:v>0</x:v>
      </x:c>
      <x:c r="F11" s="17" t="n">
        <x:f>SUMIF(Ledger!$C$6:$C$505,A11,Ledger!$AE$6:$AE$505)</x:f>
        <x:v>0</x:v>
      </x:c>
      <x:c r="G11" s="17" t="n">
        <x:f>COUNTIFS(Ledger!$C$6:$C$505,A11,Ledger!$AC$6:$AC$505,1,Ledger!$Z$6:$Z$505,"PARTIAL")</x:f>
        <x:v>0</x:v>
      </x:c>
      <x:c r="H11" s="17" t="n">
        <x:f>COUNTIFS(Ledger!$C$6:$C$505,A11,Ledger!$M$6:$M$505,"VERIFIED",Ledger!$N$6:$N$505,"YES",Ledger!$Z$6:$Z$505,"PENDING")</x:f>
        <x:v>0</x:v>
      </x:c>
      <x:c r="I11" s="32" t="str">
        <x:f>IF(D11=0,"",E11/D11)</x:f>
      </x:c>
      <x:c r="J11" s="32" t="str">
        <x:f>IF(D11=0,"",F11/D11)</x:f>
      </x:c>
    </x:row>
    <x:row r="12" ht="58" customHeight="1">
      <x:c r="A12" s="17" t="str">
        <x:v>Neuroscience &amp; human augmentation</x:v>
      </x:c>
      <x:c r="B12" s="17" t="n">
        <x:f>COUNTIF(Ledger!$C$6:$C$505,A12)</x:f>
        <x:v>4</x:v>
      </x:c>
      <x:c r="C12" s="17" t="n">
        <x:f>COUNTIFS(Ledger!$C$6:$C$505,A12,Ledger!$M$6:$M$505,"VERIFIED",Ledger!$N$6:$N$505,"YES")</x:f>
        <x:v>0</x:v>
      </x:c>
      <x:c r="D12" s="17" t="n">
        <x:f>SUMIF(Ledger!$C$6:$C$505,A12,Ledger!$AC$6:$AC$505)</x:f>
        <x:v>0</x:v>
      </x:c>
      <x:c r="E12" s="17" t="n">
        <x:f>SUMIF(Ledger!$C$6:$C$505,A12,Ledger!$AD$6:$AD$505)</x:f>
        <x:v>0</x:v>
      </x:c>
      <x:c r="F12" s="17" t="n">
        <x:f>SUMIF(Ledger!$C$6:$C$505,A12,Ledger!$AE$6:$AE$505)</x:f>
        <x:v>0</x:v>
      </x:c>
      <x:c r="G12" s="17" t="n">
        <x:f>COUNTIFS(Ledger!$C$6:$C$505,A12,Ledger!$AC$6:$AC$505,1,Ledger!$Z$6:$Z$505,"PARTIAL")</x:f>
        <x:v>0</x:v>
      </x:c>
      <x:c r="H12" s="17" t="n">
        <x:f>COUNTIFS(Ledger!$C$6:$C$505,A12,Ledger!$M$6:$M$505,"VERIFIED",Ledger!$N$6:$N$505,"YES",Ledger!$Z$6:$Z$505,"PENDING")</x:f>
        <x:v>0</x:v>
      </x:c>
      <x:c r="I12" s="32" t="str">
        <x:f>IF(D12=0,"",E12/D12)</x:f>
      </x:c>
      <x:c r="J12" s="32" t="str">
        <x:f>IF(D12=0,"",F12/D12)</x:f>
      </x:c>
    </x:row>
    <x:row r="13" ht="58" customHeight="1">
      <x:c r="A13" s="17" t="str">
        <x:v>Robotics &amp; transportation</x:v>
      </x:c>
      <x:c r="B13" s="17" t="n">
        <x:f>COUNTIF(Ledger!$C$6:$C$505,A13)</x:f>
        <x:v>5</x:v>
      </x:c>
      <x:c r="C13" s="17" t="n">
        <x:f>COUNTIFS(Ledger!$C$6:$C$505,A13,Ledger!$M$6:$M$505,"VERIFIED",Ledger!$N$6:$N$505,"YES")</x:f>
        <x:v>0</x:v>
      </x:c>
      <x:c r="D13" s="17" t="n">
        <x:f>SUMIF(Ledger!$C$6:$C$505,A13,Ledger!$AC$6:$AC$505)</x:f>
        <x:v>0</x:v>
      </x:c>
      <x:c r="E13" s="17" t="n">
        <x:f>SUMIF(Ledger!$C$6:$C$505,A13,Ledger!$AD$6:$AD$505)</x:f>
        <x:v>0</x:v>
      </x:c>
      <x:c r="F13" s="17" t="n">
        <x:f>SUMIF(Ledger!$C$6:$C$505,A13,Ledger!$AE$6:$AE$505)</x:f>
        <x:v>0</x:v>
      </x:c>
      <x:c r="G13" s="17" t="n">
        <x:f>COUNTIFS(Ledger!$C$6:$C$505,A13,Ledger!$AC$6:$AC$505,1,Ledger!$Z$6:$Z$505,"PARTIAL")</x:f>
        <x:v>0</x:v>
      </x:c>
      <x:c r="H13" s="17" t="n">
        <x:f>COUNTIFS(Ledger!$C$6:$C$505,A13,Ledger!$M$6:$M$505,"VERIFIED",Ledger!$N$6:$N$505,"YES",Ledger!$Z$6:$Z$505,"PENDING")</x:f>
        <x:v>0</x:v>
      </x:c>
      <x:c r="I13" s="32" t="str">
        <x:f>IF(D13=0,"",E13/D13)</x:f>
      </x:c>
      <x:c r="J13" s="32" t="str">
        <x:f>IF(D13=0,"",F13/D13)</x:f>
      </x:c>
    </x:row>
    <x:row r="14" ht="58" customHeight="1">
      <x:c r="A14" s="17" t="str">
        <x:v>Manufacturing &amp; materials</x:v>
      </x:c>
      <x:c r="B14" s="17" t="n">
        <x:f>COUNTIF(Ledger!$C$6:$C$505,A14)</x:f>
        <x:v>1</x:v>
      </x:c>
      <x:c r="C14" s="17" t="n">
        <x:f>COUNTIFS(Ledger!$C$6:$C$505,A14,Ledger!$M$6:$M$505,"VERIFIED",Ledger!$N$6:$N$505,"YES")</x:f>
        <x:v>0</x:v>
      </x:c>
      <x:c r="D14" s="17" t="n">
        <x:f>SUMIF(Ledger!$C$6:$C$505,A14,Ledger!$AC$6:$AC$505)</x:f>
        <x:v>0</x:v>
      </x:c>
      <x:c r="E14" s="17" t="n">
        <x:f>SUMIF(Ledger!$C$6:$C$505,A14,Ledger!$AD$6:$AD$505)</x:f>
        <x:v>0</x:v>
      </x:c>
      <x:c r="F14" s="17" t="n">
        <x:f>SUMIF(Ledger!$C$6:$C$505,A14,Ledger!$AE$6:$AE$505)</x:f>
        <x:v>0</x:v>
      </x:c>
      <x:c r="G14" s="17" t="n">
        <x:f>COUNTIFS(Ledger!$C$6:$C$505,A14,Ledger!$AC$6:$AC$505,1,Ledger!$Z$6:$Z$505,"PARTIAL")</x:f>
        <x:v>0</x:v>
      </x:c>
      <x:c r="H14" s="17" t="n">
        <x:f>COUNTIFS(Ledger!$C$6:$C$505,A14,Ledger!$M$6:$M$505,"VERIFIED",Ledger!$N$6:$N$505,"YES",Ledger!$Z$6:$Z$505,"PENDING")</x:f>
        <x:v>0</x:v>
      </x:c>
      <x:c r="I14" s="32" t="str">
        <x:f>IF(D14=0,"",E14/D14)</x:f>
      </x:c>
      <x:c r="J14" s="32" t="str">
        <x:f>IF(D14=0,"",F14/D14)</x:f>
      </x:c>
    </x:row>
    <x:row r="15" ht="58" customHeight="1">
      <x:c r="A15" s="17" t="str">
        <x:v>Energy &amp; environment</x:v>
      </x:c>
      <x:c r="B15" s="17" t="n">
        <x:f>COUNTIF(Ledger!$C$6:$C$505,A15)</x:f>
        <x:v>1</x:v>
      </x:c>
      <x:c r="C15" s="17" t="n">
        <x:f>COUNTIFS(Ledger!$C$6:$C$505,A15,Ledger!$M$6:$M$505,"VERIFIED",Ledger!$N$6:$N$505,"YES")</x:f>
        <x:v>0</x:v>
      </x:c>
      <x:c r="D15" s="17" t="n">
        <x:f>SUMIF(Ledger!$C$6:$C$505,A15,Ledger!$AC$6:$AC$505)</x:f>
        <x:v>0</x:v>
      </x:c>
      <x:c r="E15" s="17" t="n">
        <x:f>SUMIF(Ledger!$C$6:$C$505,A15,Ledger!$AD$6:$AD$505)</x:f>
        <x:v>0</x:v>
      </x:c>
      <x:c r="F15" s="17" t="n">
        <x:f>SUMIF(Ledger!$C$6:$C$505,A15,Ledger!$AE$6:$AE$505)</x:f>
        <x:v>0</x:v>
      </x:c>
      <x:c r="G15" s="17" t="n">
        <x:f>COUNTIFS(Ledger!$C$6:$C$505,A15,Ledger!$AC$6:$AC$505,1,Ledger!$Z$6:$Z$505,"PARTIAL")</x:f>
        <x:v>0</x:v>
      </x:c>
      <x:c r="H15" s="17" t="n">
        <x:f>COUNTIFS(Ledger!$C$6:$C$505,A15,Ledger!$M$6:$M$505,"VERIFIED",Ledger!$N$6:$N$505,"YES",Ledger!$Z$6:$Z$505,"PENDING")</x:f>
        <x:v>0</x:v>
      </x:c>
      <x:c r="I15" s="32" t="str">
        <x:f>IF(D15=0,"",E15/D15)</x:f>
      </x:c>
      <x:c r="J15" s="32" t="str">
        <x:f>IF(D15=0,"",F15/D15)</x:f>
      </x:c>
    </x:row>
    <x:row r="16" ht="58" customHeight="1">
      <x:c r="A16" s="17" t="str">
        <x:v>Economy &amp; society</x:v>
      </x:c>
      <x:c r="B16" s="17" t="n">
        <x:f>COUNTIF(Ledger!$C$6:$C$505,A16)</x:f>
        <x:v>4</x:v>
      </x:c>
      <x:c r="C16" s="17" t="n">
        <x:f>COUNTIFS(Ledger!$C$6:$C$505,A16,Ledger!$M$6:$M$505,"VERIFIED",Ledger!$N$6:$N$505,"YES")</x:f>
        <x:v>0</x:v>
      </x:c>
      <x:c r="D16" s="17" t="n">
        <x:f>SUMIF(Ledger!$C$6:$C$505,A16,Ledger!$AC$6:$AC$505)</x:f>
        <x:v>0</x:v>
      </x:c>
      <x:c r="E16" s="17" t="n">
        <x:f>SUMIF(Ledger!$C$6:$C$505,A16,Ledger!$AD$6:$AD$505)</x:f>
        <x:v>0</x:v>
      </x:c>
      <x:c r="F16" s="17" t="n">
        <x:f>SUMIF(Ledger!$C$6:$C$505,A16,Ledger!$AE$6:$AE$505)</x:f>
        <x:v>0</x:v>
      </x:c>
      <x:c r="G16" s="17" t="n">
        <x:f>COUNTIFS(Ledger!$C$6:$C$505,A16,Ledger!$AC$6:$AC$505,1,Ledger!$Z$6:$Z$505,"PARTIAL")</x:f>
        <x:v>0</x:v>
      </x:c>
      <x:c r="H16" s="17" t="n">
        <x:f>COUNTIFS(Ledger!$C$6:$C$505,A16,Ledger!$M$6:$M$505,"VERIFIED",Ledger!$N$6:$N$505,"YES",Ledger!$Z$6:$Z$505,"PENDING")</x:f>
        <x:v>0</x:v>
      </x:c>
      <x:c r="I16" s="32" t="str">
        <x:f>IF(D16=0,"",E16/D16)</x:f>
      </x:c>
      <x:c r="J16" s="32" t="str">
        <x:f>IF(D16=0,"",F16/D16)</x:f>
      </x:c>
    </x:row>
    <x:row r="17" ht="58" customHeight="1">
      <x:c r="A17" s="17" t="str">
        <x:v>Media, education &amp; culture</x:v>
      </x:c>
      <x:c r="B17" s="17" t="n">
        <x:f>COUNTIF(Ledger!$C$6:$C$505,A17)</x:f>
        <x:v>3</x:v>
      </x:c>
      <x:c r="C17" s="17" t="n">
        <x:f>COUNTIFS(Ledger!$C$6:$C$505,A17,Ledger!$M$6:$M$505,"VERIFIED",Ledger!$N$6:$N$505,"YES")</x:f>
        <x:v>0</x:v>
      </x:c>
      <x:c r="D17" s="17" t="n">
        <x:f>SUMIF(Ledger!$C$6:$C$505,A17,Ledger!$AC$6:$AC$505)</x:f>
        <x:v>0</x:v>
      </x:c>
      <x:c r="E17" s="17" t="n">
        <x:f>SUMIF(Ledger!$C$6:$C$505,A17,Ledger!$AD$6:$AD$505)</x:f>
        <x:v>0</x:v>
      </x:c>
      <x:c r="F17" s="17" t="n">
        <x:f>SUMIF(Ledger!$C$6:$C$505,A17,Ledger!$AE$6:$AE$505)</x:f>
        <x:v>0</x:v>
      </x:c>
      <x:c r="G17" s="17" t="n">
        <x:f>COUNTIFS(Ledger!$C$6:$C$505,A17,Ledger!$AC$6:$AC$505,1,Ledger!$Z$6:$Z$505,"PARTIAL")</x:f>
        <x:v>0</x:v>
      </x:c>
      <x:c r="H17" s="17" t="n">
        <x:f>COUNTIFS(Ledger!$C$6:$C$505,A17,Ledger!$M$6:$M$505,"VERIFIED",Ledger!$N$6:$N$505,"YES",Ledger!$Z$6:$Z$505,"PENDING")</x:f>
        <x:v>0</x:v>
      </x:c>
      <x:c r="I17" s="32" t="str">
        <x:f>IF(D17=0,"",E17/D17)</x:f>
      </x:c>
      <x:c r="J17" s="32" t="str">
        <x:f>IF(D17=0,"",F17/D17)</x:f>
      </x:c>
    </x:row>
    <x:row r="18" ht="58" customHeight="1">
      <x:c r="A18" s="17" t="str">
        <x:v>Security &amp; warfare</x:v>
      </x:c>
      <x:c r="B18" s="17" t="n">
        <x:f>COUNTIF(Ledger!$C$6:$C$505,A18)</x:f>
        <x:v>3</x:v>
      </x:c>
      <x:c r="C18" s="17" t="n">
        <x:f>COUNTIFS(Ledger!$C$6:$C$505,A18,Ledger!$M$6:$M$505,"VERIFIED",Ledger!$N$6:$N$505,"YES")</x:f>
        <x:v>0</x:v>
      </x:c>
      <x:c r="D18" s="17" t="n">
        <x:f>SUMIF(Ledger!$C$6:$C$505,A18,Ledger!$AC$6:$AC$505)</x:f>
        <x:v>0</x:v>
      </x:c>
      <x:c r="E18" s="17" t="n">
        <x:f>SUMIF(Ledger!$C$6:$C$505,A18,Ledger!$AD$6:$AD$505)</x:f>
        <x:v>0</x:v>
      </x:c>
      <x:c r="F18" s="17" t="n">
        <x:f>SUMIF(Ledger!$C$6:$C$505,A18,Ledger!$AE$6:$AE$505)</x:f>
        <x:v>0</x:v>
      </x:c>
      <x:c r="G18" s="17" t="n">
        <x:f>COUNTIFS(Ledger!$C$6:$C$505,A18,Ledger!$AC$6:$AC$505,1,Ledger!$Z$6:$Z$505,"PARTIAL")</x:f>
        <x:v>0</x:v>
      </x:c>
      <x:c r="H18" s="17" t="n">
        <x:f>COUNTIFS(Ledger!$C$6:$C$505,A18,Ledger!$M$6:$M$505,"VERIFIED",Ledger!$N$6:$N$505,"YES",Ledger!$Z$6:$Z$505,"PENDING")</x:f>
        <x:v>0</x:v>
      </x:c>
      <x:c r="I18" s="32" t="str">
        <x:f>IF(D18=0,"",E18/D18)</x:f>
      </x:c>
      <x:c r="J18" s="32" t="str">
        <x:f>IF(D18=0,"",F18/D18)</x:f>
      </x:c>
    </x:row>
  </x:sheetData>
  <x:pageMargins left="0.7" right="0.7" top="0.75" bottom="0.75" header="0.3" footer="0.3"/>
  <x:tableParts count="1">
    <x:tablePart xmlns:r="http://schemas.openxmlformats.org/officeDocument/2006/relationships" r:id="Rfd4acbe1bf3646be"/>
  </x:tableParts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40" hidden="0" customWidth="1"/>
    <x:col min="3" max="3" width="40" hidden="0" customWidth="1"/>
    <x:col min="4" max="4" width="34" hidden="0" customWidth="1"/>
  </x:cols>
  <x:sheetData>
    <x:row r="1" ht="32" customHeight="1">
      <x:c r="A1" s="58" t="str">
        <x:v>RUBRIC</x:v>
      </x:c>
      <x:c r="B1" s="7"/>
      <x:c r="C1" s="7"/>
      <x:c r="D1" s="7"/>
    </x:row>
    <x:row r="2">
      <x:c r="A2" s="4"/>
      <x:c r="B2" s="4"/>
      <x:c r="C2" s="4"/>
      <x:c r="D2" s="4"/>
    </x:row>
    <x:row r="3" ht="32" customHeight="1">
      <x:c r="A3" s="60" t="str">
        <x:v>Store outcome at the original deadline AND outcome at the review date. The display badge is only a summary.</x:v>
      </x:c>
      <x:c r="B3" s="25"/>
      <x:c r="C3" s="25"/>
      <x:c r="D3" s="25"/>
    </x:row>
    <x:row r="4">
      <x:c r="A4" s="4"/>
      <x:c r="B4" s="4"/>
      <x:c r="C4" s="4"/>
      <x:c r="D4" s="4"/>
    </x:row>
    <x:row r="5" ht="32" customHeight="1">
      <x:c r="A5" s="12" t="str">
        <x:v>Display label / qualifier</x:v>
      </x:c>
      <x:c r="B5" s="12" t="str">
        <x:v>Meaning</x:v>
      </x:c>
      <x:c r="C5" s="12" t="str">
        <x:v>Important guardrail</x:v>
      </x:c>
      <x:c r="D5" s="12" t="str">
        <x:v>Statistical treatment</x:v>
      </x:c>
    </x:row>
    <x:row r="6" ht="58" customHeight="1">
      <x:c r="A6" s="17" t="str">
        <x:v>CORRECT</x:v>
      </x:c>
      <x:c r="B6" s="17" t="str">
        <x:v>Full stated outcome achieved by its deadline (or already achieved ahead of a future deadline).</x:v>
      </x:c>
      <x:c r="C6" s="17" t="str">
        <x:v>Outcome and scope must match. Early is a timing qualifier, not a separate success bucket.</x:v>
      </x:c>
      <x:c r="D6" s="17" t="str">
        <x:v>1 if due / canonical / verified</x:v>
      </x:c>
    </x:row>
    <x:row r="7" ht="58" customHeight="1">
      <x:c r="A7" s="17" t="str">
        <x:v>LATE</x:v>
      </x:c>
      <x:c r="B7" s="17" t="str">
        <x:v>Full stated outcome achieved, but only after the original deadline.</x:v>
      </x:c>
      <x:c r="C7" s="17" t="str">
        <x:v>Keep the original deadline verdict. Do not change it to on-time correct.</x:v>
      </x:c>
      <x:c r="D7" s="17" t="str">
        <x:v>0 on-time; 1 realized</x:v>
      </x:c>
    </x:row>
    <x:row r="8" ht="58" customHeight="1">
      <x:c r="A8" s="17" t="str">
        <x:v>PARTIAL</x:v>
      </x:c>
      <x:c r="B8" s="17" t="str">
        <x:v>A material part was achieved, but the full test was not met.</x:v>
      </x:c>
      <x:c r="C8" s="17" t="str">
        <x:v>Record which component, threshold, geography or adoption level remains unmet.</x:v>
      </x:c>
      <x:c r="D8" s="17" t="str">
        <x:v>0 strict; partial counts separate</x:v>
      </x:c>
    </x:row>
    <x:row r="9" ht="58" customHeight="1">
      <x:c r="A9" s="17" t="str">
        <x:v>WRONG / MISSED</x:v>
      </x:c>
      <x:c r="B9" s="17" t="str">
        <x:v>The due prediction was not materially achieved.</x:v>
      </x:c>
      <x:c r="C9" s="17" t="str">
        <x:v>Means the dated forecast failed, not that the event is impossible forever.</x:v>
      </x:c>
      <x:c r="D9" s="17" t="str">
        <x:v>0</x:v>
      </x:c>
    </x:row>
    <x:row r="10" ht="58" customHeight="1">
      <x:c r="A10" s="17" t="str">
        <x:v>PENDING</x:v>
      </x:c>
      <x:c r="B10" s="17" t="str">
        <x:v>The deadline has not passed and the full claim has not yet been met.</x:v>
      </x:c>
      <x:c r="C10" s="17" t="str">
        <x:v>Log partial progress separately; being behind expectations does not close the forecast.</x:v>
      </x:c>
      <x:c r="D10" s="17" t="str">
        <x:v>Excluded from due denominator</x:v>
      </x:c>
    </x:row>
    <x:row r="11" ht="58" customHeight="1">
      <x:c r="A11" s="17" t="str">
        <x:v>UNSCORABLE</x:v>
      </x:c>
      <x:c r="B11" s="17" t="str">
        <x:v>Verified wording cannot be assessed under a defensible, fixed criterion.</x:v>
      </x:c>
      <x:c r="C11" s="17" t="str">
        <x:v>Explain ambiguity, missing deadline, inapplicable condition or incompatible metrics. Never use just to hide a miss.</x:v>
      </x:c>
      <x:c r="D11" s="17" t="str">
        <x:v>Excluded, count disclosed</x:v>
      </x:c>
    </x:row>
    <x:row r="12" ht="58" customHeight="1">
      <x:c r="A12" s="17" t="str">
        <x:v>UNREVIEWED</x:v>
      </x:c>
      <x:c r="B12" s="17" t="str">
        <x:v>Attribution and/or outcome checks are incomplete.</x:v>
      </x:c>
      <x:c r="C12" s="17" t="str">
        <x:v>A workflow state, not a forecast verdict. All 88 imported candidates start here.</x:v>
      </x:c>
      <x:c r="D12" s="17" t="str">
        <x:v>Excluded, count disclosed</x:v>
      </x:c>
    </x:row>
    <x:row r="13" ht="58" customHeight="1">
      <x:c r="A13" s="17" t="str">
        <x:v>EXCLUDED</x:v>
      </x:c>
      <x:c r="B13" s="17" t="str">
        <x:v>Duplicate for scoring, misattribution, non-prediction or another documented exclusion.</x:v>
      </x:c>
      <x:c r="C13" s="17" t="str">
        <x:v>Keep the row and reason. Do not delete inconvenient forecasts.</x:v>
      </x:c>
      <x:c r="D13" s="17" t="str">
        <x:v>Excluded, count disclosed</x:v>
      </x:c>
    </x:row>
    <x:row r="14" ht="58" customHeight="1">
      <x:c r="A14" s="17" t="str">
        <x:v>EARLY / OVERDUE</x:v>
      </x:c>
      <x:c r="B14" s="17" t="str">
        <x:v>Timing qualifiers, not independent outcome buckets.</x:v>
      </x:c>
      <x:c r="C14" s="17" t="str">
        <x:v>Use actual achievement minus deadline for drift. Unmet claims have overdue time, not invented achievement dates.</x:v>
      </x:c>
      <x:c r="D14" s="17" t="str">
        <x:v>No additional points</x:v>
      </x:c>
    </x:row>
    <x:row r="15" ht="58" customHeight="1">
      <x:c r="A15" s="17" t="str">
        <x:v>DISPUTED</x:v>
      </x:c>
      <x:c r="B15" s="17" t="str">
        <x:v>Separate qualifier for reasonable disagreement about interpretation or evidence.</x:v>
      </x:c>
      <x:c r="C15" s="17" t="str">
        <x:v>Record strict and alternative readings and why they differ; do not silently relax the criterion.</x:v>
      </x:c>
      <x:c r="D15" s="17" t="str">
        <x:v>Separate sensitivity analysis</x:v>
      </x:c>
    </x:row>
  </x:sheetData>
  <x:pageMargins left="0.7" right="0.7" top="0.75" bottom="0.75" header="0.3" footer="0.3"/>
  <x:tableParts count="1">
    <x:tablePart xmlns:r="http://schemas.openxmlformats.org/officeDocument/2006/relationships" r:id="R07729d021bdb4524"/>
  </x:tableParts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40" hidden="0" customWidth="1"/>
    <x:col min="3" max="3" width="40" hidden="0" customWidth="1"/>
  </x:cols>
  <x:sheetData>
    <x:row r="1" ht="32" customHeight="1">
      <x:c r="A1" s="58" t="str">
        <x:v>CATEGORIES</x:v>
      </x:c>
      <x:c r="B1" s="7"/>
      <x:c r="C1" s="7"/>
    </x:row>
    <x:row r="2">
      <x:c r="A2" s="4"/>
      <x:c r="B2" s="4"/>
      <x:c r="C2" s="4"/>
    </x:row>
    <x:row r="3">
      <x:c r="A3" s="4"/>
      <x:c r="B3" s="4"/>
      <x:c r="C3" s="4"/>
    </x:row>
    <x:row r="4">
      <x:c r="A4" s="4"/>
      <x:c r="B4" s="4"/>
      <x:c r="C4" s="4"/>
    </x:row>
    <x:row r="5" ht="32" customHeight="1">
      <x:c r="A5" s="12" t="str">
        <x:v>Primary category</x:v>
      </x:c>
      <x:c r="B5" s="12" t="str">
        <x:v>Suggested subcategories</x:v>
      </x:c>
      <x:c r="C5" s="12" t="str">
        <x:v>Assignment rule</x:v>
      </x:c>
    </x:row>
    <x:row r="6" ht="58" customHeight="1">
      <x:c r="A6" s="17" t="str">
        <x:v>Computing hardware</x:v>
      </x:c>
      <x:c r="B6" s="17" t="str">
        <x:v>Processors; memory; storage; price/performance</x:v>
      </x:c>
      <x:c r="C6" s="17" t="str">
        <x:v>Claims about computing capacity, size and cost.</x:v>
      </x:c>
    </x:row>
    <x:row r="7" ht="58" customHeight="1">
      <x:c r="A7" s="17" t="str">
        <x:v>Networks &amp; communications</x:v>
      </x:c>
      <x:c r="B7" s="17" t="str">
        <x:v>Internet; wireless; connectivity</x:v>
      </x:c>
      <x:c r="C7" s="17" t="str">
        <x:v>Transport and availability of information, not language understanding.</x:v>
      </x:c>
    </x:row>
    <x:row r="8" ht="58" customHeight="1">
      <x:c r="A8" s="17" t="str">
        <x:v>AI &amp; software</x:v>
      </x:c>
      <x:c r="B8" s="17" t="str">
        <x:v>Speech; translation; reasoning; agents; machine intelligence</x:v>
      </x:c>
      <x:c r="C8" s="17" t="str">
        <x:v>Software abilities. Tag commercial adoption separately.</x:v>
      </x:c>
    </x:row>
    <x:row r="9" ht="58" customHeight="1">
      <x:c r="A9" s="17" t="str">
        <x:v>Interfaces &amp; virtual worlds</x:v>
      </x:c>
      <x:c r="B9" s="17" t="str">
        <x:v>Displays; wearables; AR; VR; human-computer interaction</x:v>
      </x:c>
      <x:c r="C9" s="17" t="str">
        <x:v>Distinguish headsets, retinal displays, contact lenses and direct neural interfaces.</x:v>
      </x:c>
    </x:row>
    <x:row r="10" ht="58" customHeight="1">
      <x:c r="A10" s="17" t="str">
        <x:v>Biology &amp; medicine</x:v>
      </x:c>
      <x:c r="B10" s="17" t="str">
        <x:v>Genomics; drug discovery; diagnosis; treatment; organs</x:v>
      </x:c>
      <x:c r="C10" s="17" t="str">
        <x:v>Separate computational research milestones from human clinical outcomes.</x:v>
      </x:c>
    </x:row>
    <x:row r="11" ht="58" customHeight="1">
      <x:c r="A11" s="17" t="str">
        <x:v>Longevity</x:v>
      </x:c>
      <x:c r="B11" s="17" t="str">
        <x:v>Life expectancy; aging; escape velocity</x:v>
      </x:c>
      <x:c r="C11" s="17" t="str">
        <x:v>Keep population, age group, access and life-expectancy definition explicit.</x:v>
      </x:c>
    </x:row>
    <x:row r="12" ht="58" customHeight="1">
      <x:c r="A12" s="17" t="str">
        <x:v>Neuroscience &amp; human augmentation</x:v>
      </x:c>
      <x:c r="B12" s="17" t="str">
        <x:v>Brain mapping; brain simulation; implants; brain-cloud links</x:v>
      </x:c>
      <x:c r="C12" s="17" t="str">
        <x:v>Brain hardware, brain understanding and cognition augmentation.</x:v>
      </x:c>
    </x:row>
    <x:row r="13" ht="58" customHeight="1">
      <x:c r="A13" s="17" t="str">
        <x:v>Robotics &amp; transportation</x:v>
      </x:c>
      <x:c r="B13" s="17" t="str">
        <x:v>Vehicles; robots; autonomy; logistics</x:v>
      </x:c>
      <x:c r="C13" s="17" t="str">
        <x:v>Distinguish prototype, commercial service and widespread use.</x:v>
      </x:c>
    </x:row>
    <x:row r="14" ht="58" customHeight="1">
      <x:c r="A14" s="17" t="str">
        <x:v>Manufacturing &amp; materials</x:v>
      </x:c>
      <x:c r="B14" s="17" t="str">
        <x:v>3-D printing; molecular assembly; nanomaterials</x:v>
      </x:c>
      <x:c r="C14" s="17" t="str">
        <x:v>Medical nanobots: primary category Biology &amp; medicine; nanotech as a tag.</x:v>
      </x:c>
    </x:row>
    <x:row r="15" ht="58" customHeight="1">
      <x:c r="A15" s="17" t="str">
        <x:v>Energy &amp; environment</x:v>
      </x:c>
      <x:c r="B15" s="17" t="str">
        <x:v>Solar; generation; costs; resources</x:v>
      </x:c>
      <x:c r="C15" s="17" t="str">
        <x:v>Preserve energy versus electricity, capacity versus generation.</x:v>
      </x:c>
    </x:row>
    <x:row r="16" ht="58" customHeight="1">
      <x:c r="A16" s="17" t="str">
        <x:v>Economy &amp; society</x:v>
      </x:c>
      <x:c r="B16" s="17" t="str">
        <x:v>Employment; income; institutions; demographics; politics</x:v>
      </x:c>
      <x:c r="C16" s="17" t="str">
        <x:v>Track geography and population; separate causal claims from observed events.</x:v>
      </x:c>
    </x:row>
    <x:row r="17" ht="58" customHeight="1">
      <x:c r="A17" s="17" t="str">
        <x:v>Media, education &amp; culture</x:v>
      </x:c>
      <x:c r="B17" s="17" t="str">
        <x:v>Publishing; entertainment; learning; arts</x:v>
      </x:c>
      <x:c r="C17" s="17" t="str">
        <x:v>Do not confuse availability with dominant use.</x:v>
      </x:c>
    </x:row>
    <x:row r="18" ht="58" customHeight="1">
      <x:c r="A18" s="17" t="str">
        <x:v>Security &amp; warfare</x:v>
      </x:c>
      <x:c r="B18" s="17" t="str">
        <x:v>Weapons; conflict; security; surveillance</x:v>
      </x:c>
      <x:c r="C18" s="17" t="str">
        <x:v>Distinguish device existence from prevalence or displacement of personnel.</x:v>
      </x:c>
    </x:row>
  </x:sheetData>
  <x:pageMargins left="0.7" right="0.7" top="0.75" bottom="0.75" header="0.3" footer="0.3"/>
  <x:tableParts count="1">
    <x:tablePart xmlns:r="http://schemas.openxmlformats.org/officeDocument/2006/relationships" r:id="R9f429d3d0ca44fbf"/>
  </x:tableParts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39" hidden="0" customWidth="1"/>
    <x:col min="3" max="3" width="30" hidden="0" customWidth="1"/>
    <x:col min="4" max="4" width="28" hidden="0" customWidth="1"/>
    <x:col min="5" max="5" width="40" hidden="0" customWidth="1"/>
    <x:col min="6" max="6" width="40" hidden="0" customWidth="1"/>
  </x:cols>
  <x:sheetData>
    <x:row r="1" ht="32" customHeight="1">
      <x:c r="A1" s="58" t="str">
        <x:v>COVERAGE</x:v>
      </x:c>
      <x:c r="B1" s="7"/>
      <x:c r="C1" s="7"/>
      <x:c r="D1" s="7"/>
      <x:c r="E1" s="7"/>
      <x:c r="F1" s="7"/>
    </x:row>
    <x:row r="2">
      <x:c r="A2" s="4"/>
      <x:c r="B2" s="4"/>
      <x:c r="C2" s="4"/>
      <x:c r="D2" s="4"/>
      <x:c r="E2" s="4"/>
      <x:c r="F2" s="4"/>
    </x:row>
    <x:row r="3">
      <x:c r="A3" s="4"/>
      <x:c r="B3" s="4"/>
      <x:c r="C3" s="4"/>
      <x:c r="D3" s="4"/>
      <x:c r="E3" s="4"/>
      <x:c r="F3" s="4"/>
    </x:row>
    <x:row r="4">
      <x:c r="A4" s="4"/>
      <x:c r="B4" s="4"/>
      <x:c r="C4" s="4"/>
      <x:c r="D4" s="4"/>
      <x:c r="E4" s="4"/>
      <x:c r="F4" s="4"/>
    </x:row>
    <x:row r="5" ht="32" customHeight="1">
      <x:c r="A5" s="12" t="str">
        <x:v>ID</x:v>
      </x:c>
      <x:c r="B5" s="12" t="str">
        <x:v>Source / corpus</x:v>
      </x:c>
      <x:c r="C5" s="12" t="str">
        <x:v>Expected scope</x:v>
      </x:c>
      <x:c r="D5" s="12" t="str">
        <x:v>Extraction state</x:v>
      </x:c>
      <x:c r="E5" s="12" t="str">
        <x:v>Source URL / preserved path</x:v>
      </x:c>
      <x:c r="F5" s="12" t="str">
        <x:v>Notes</x:v>
      </x:c>
    </x:row>
    <x:row r="6" ht="58" customHeight="1">
      <x:c r="A6" s="17" t="str">
        <x:v>LEGACY-1</x:v>
      </x:c>
      <x:c r="B6" s="17" t="str">
        <x:v>Earlier report: Ray Kurzweil Predictions Audit</x:v>
      </x:c>
      <x:c r="C6" s="17" t="str">
        <x:v>30 candidate rows</x:v>
      </x:c>
      <x:c r="D6" s="17" t="str">
        <x:v>IMPORTED / UNVERIFIED</x:v>
      </x:c>
      <x:c r="E6" s="17" t="str">
        <x:v>legacy/Ray Kurzweil Predictions Audit.txt</x:v>
      </x:c>
      <x:c r="F6" s="17" t="str">
        <x:v>Retained unchanged; aggregate percentages are not an audited denominator.</x:v>
      </x:c>
    </x:row>
    <x:row r="7" ht="58" customHeight="1">
      <x:c r="A7" s="17" t="str">
        <x:v>LEGACY-2</x:v>
      </x:c>
      <x:c r="B7" s="17" t="str">
        <x:v>Earlier report: Decade-by-Decade Analysis</x:v>
      </x:c>
      <x:c r="C7" s="17" t="str">
        <x:v>32 candidate rows</x:v>
      </x:c>
      <x:c r="D7" s="17" t="str">
        <x:v>IMPORTED / UNVERIFIED</x:v>
      </x:c>
      <x:c r="E7" s="17" t="str">
        <x:v>legacy/Ray Kurzweil’s Predictions: Decade-by-Decade Analysis.txt</x:v>
      </x:c>
      <x:c r="F7" s="17" t="str">
        <x:v>Legacy CSV contains a malformed unquoted field; raw text preserved.</x:v>
      </x:c>
    </x:row>
    <x:row r="8" ht="58" customHeight="1">
      <x:c r="A8" s="17" t="str">
        <x:v>LEGACY-3</x:v>
      </x:c>
      <x:c r="B8" s="17" t="str">
        <x:v>Earlier report: Executive Summary</x:v>
      </x:c>
      <x:c r="C8" s="17" t="str">
        <x:v>26 candidates + 5 aggregate rows</x:v>
      </x:c>
      <x:c r="D8" s="17" t="str">
        <x:v>IMPORTED / UNVERIFIED</x:v>
      </x:c>
      <x:c r="E8" s="17" t="str">
        <x:v>legacy/Executive Summary.txt</x:v>
      </x:c>
      <x:c r="F8" s="17" t="str">
        <x:v>Aggregate rows preserved in archive, omitted from candidate ledger.</x:v>
      </x:c>
    </x:row>
    <x:row r="9" ht="58" customHeight="1">
      <x:c r="A9" s="17" t="str">
        <x:v>CORPUS-1</x:v>
      </x:c>
      <x:c r="B9" s="17" t="str">
        <x:v>The Age of Spiritual Machines: 2009 section</x:v>
      </x:c>
      <x:c r="C9" s="17" t="str">
        <x:v>147 items in author's retrospective count</x:v>
      </x:c>
      <x:c r="D9" s="17" t="str">
        <x:v>LOCATED / NOT EXTRACTED</x:v>
      </x:c>
      <x:c r="E9" s="17" t="str">
        <x:v>https://www.thekurzweillibrary.com/how-my-predictions-are-faring-an-update-by-ray-kurzweil</x:v>
      </x:c>
      <x:c r="F9" s="17" t="str">
        <x:v>Use the 2010 audit to locate claims, then check the original 1999 edition. Self-scores are not independent evidence.</x:v>
      </x:c>
    </x:row>
    <x:row r="10" ht="58" customHeight="1">
      <x:c r="A10" s="17" t="str">
        <x:v>CORPUS-2</x:v>
      </x:c>
      <x:c r="B10" s="17" t="str">
        <x:v>How My Predictions Are Faring (2010)</x:v>
      </x:c>
      <x:c r="C10" s="17" t="str">
        <x:v>Primary retrospective locator</x:v>
      </x:c>
      <x:c r="D10" s="17" t="str">
        <x:v>LOCATED / SAMPLED</x:v>
      </x:c>
      <x:c r="E10" s="17" t="str">
        <x:v>https://www.thekurzweillibrary.com/images/How-My-Predictions-Are-Faring.pdf</x:v>
      </x:c>
      <x:c r="F10" s="17" t="str">
        <x:v>Includes the author's 147-item assessment plus other claims. Not a second independent corpus.</x:v>
      </x:c>
    </x:row>
    <x:row r="11" ht="58" customHeight="1">
      <x:c r="A11" s="17" t="str">
        <x:v>CORPUS-3</x:v>
      </x:c>
      <x:c r="B11" s="17" t="str">
        <x:v>The Age of Spiritual Machines: 2019 / 2029 / 2099 sections</x:v>
      </x:c>
      <x:c r="C11" s="17" t="str">
        <x:v>Unknown until extracted</x:v>
      </x:c>
      <x:c r="D11" s="17" t="str">
        <x:v>TO EXTRACT</x:v>
      </x:c>
      <x:c r="E11" s="17" t="str">
        <x:v>https://www.thekurzweillibrary.com/images/How-My-Predictions-Are-Faring.pdf</x:v>
      </x:c>
      <x:c r="F11" s="17" t="str">
        <x:v>Separate each target period; official retrospective confirms these horizons.</x:v>
      </x:c>
    </x:row>
    <x:row r="12" ht="58" customHeight="1">
      <x:c r="A12" s="17" t="str">
        <x:v>CORPUS-4</x:v>
      </x:c>
      <x:c r="B12" s="17" t="str">
        <x:v>The Age of Intelligent Machines</x:v>
      </x:c>
      <x:c r="C12" s="17" t="str">
        <x:v>Unknown until extracted</x:v>
      </x:c>
      <x:c r="D12" s="17" t="str">
        <x:v>TO EXTRACT</x:v>
      </x:c>
      <x:c r="E12" s="17" t="str">
        <x:v>https://www.booksbyraykurzweil.com/</x:v>
      </x:c>
      <x:c r="F12" s="17" t="str">
        <x:v>Find original editions/pages. Do not rely only on retrospective paraphrases.</x:v>
      </x:c>
    </x:row>
    <x:row r="13" ht="58" customHeight="1">
      <x:c r="A13" s="17" t="str">
        <x:v>CORPUS-5</x:v>
      </x:c>
      <x:c r="B13" s="17" t="str">
        <x:v>The Singularity Is Near</x:v>
      </x:c>
      <x:c r="C13" s="17" t="str">
        <x:v>Unknown until extracted</x:v>
      </x:c>
      <x:c r="D13" s="17" t="str">
        <x:v>TO EXTRACT</x:v>
      </x:c>
      <x:c r="E13" s="17" t="str">
        <x:v>https://www.booksbyraykurzweil.com/</x:v>
      </x:c>
      <x:c r="F13" s="17" t="str">
        <x:v>Extract dated and conditional predictions; preserve scenario wording.</x:v>
      </x:c>
    </x:row>
    <x:row r="14" ht="58" customHeight="1">
      <x:c r="A14" s="17" t="str">
        <x:v>CORPUS-6</x:v>
      </x:c>
      <x:c r="B14" s="17" t="str">
        <x:v>Fantastic Voyage; Transcend; How to Create a Mind</x:v>
      </x:c>
      <x:c r="C14" s="17" t="str">
        <x:v>Unknown until extracted</x:v>
      </x:c>
      <x:c r="D14" s="17" t="str">
        <x:v>TO LOCATE / EXTRACT</x:v>
      </x:c>
      <x:c r="E14" s="17" t="str">
        <x:v>https://www.booksbyraykurzweil.com/</x:v>
      </x:c>
      <x:c r="F14" s="17" t="str">
        <x:v>Include co-authorship; distinguish forecasts from present-day health advice or explanatory claims.</x:v>
      </x:c>
    </x:row>
    <x:row r="15" ht="58" customHeight="1">
      <x:c r="A15" s="17" t="str">
        <x:v>CORPUS-7</x:v>
      </x:c>
      <x:c r="B15" s="17" t="str">
        <x:v>The Singularity Is Nearer</x:v>
      </x:c>
      <x:c r="C15" s="17" t="str">
        <x:v>Unknown until extracted</x:v>
      </x:c>
      <x:c r="D15" s="17" t="str">
        <x:v>TO EXTRACT</x:v>
      </x:c>
      <x:c r="E15" s="17" t="str">
        <x:v>https://www.booksbyraykurzweil.com/</x:v>
      </x:c>
      <x:c r="F15" s="17" t="str">
        <x:v>Link updated versions without overwriting original deadlines.</x:v>
      </x:c>
    </x:row>
    <x:row r="16" ht="58" customHeight="1">
      <x:c r="A16" s="17" t="str">
        <x:v>CORPUS-8</x:v>
      </x:c>
      <x:c r="B16" s="17" t="str">
        <x:v>Long Bets: Kurzweil / Kapor wager</x:v>
      </x:c>
      <x:c r="C16" s="17" t="str">
        <x:v>Dated wager and exact adjudication rules</x:v>
      </x:c>
      <x:c r="D16" s="17" t="str">
        <x:v>LOCATED / SAMPLED</x:v>
      </x:c>
      <x:c r="E16" s="17" t="str">
        <x:v>https://longbets.org/1/</x:v>
      </x:c>
      <x:c r="F16" s="17" t="str">
        <x:v>2029 contractual test must not be silently replaced with a different conversational benchmark.</x:v>
      </x:c>
    </x:row>
    <x:row r="17" ht="58" customHeight="1">
      <x:c r="A17" s="17" t="str">
        <x:v>CORPUS-9</x:v>
      </x:c>
      <x:c r="B17" s="17" t="str">
        <x:v>Dated essays, talks and interviews</x:v>
      </x:c>
      <x:c r="C17" s="17" t="str">
        <x:v>Open-ended, report coverage honestly</x:v>
      </x:c>
      <x:c r="D17" s="17" t="str">
        <x:v>TO LOCATE / EXTRACT</x:v>
      </x:c>
      <x:c r="E17" s="17" t="str">
        <x:v>https://www.thekurzweillibrary.com/</x:v>
      </x:c>
      <x:c r="F17" s="17" t="str">
        <x:v>Transcripts, timestamps, first-recorded dates, archive links, revisions and duplicates.</x:v>
      </x:c>
    </x:row>
    <x:row r="18" ht="58" customHeight="1">
      <x:c r="A18" s="17" t="str">
        <x:v>REFERENCE-1</x:v>
      </x:c>
      <x:c r="B18" s="17" t="str">
        <x:v>TechEngage 2026 visual scorecard</x:v>
      </x:c>
      <x:c r="C18" s="17" t="str">
        <x:v>Layout reference, not audit authority</x:v>
      </x:c>
      <x:c r="D18" s="17" t="str">
        <x:v>REVIEWED FOR FORMAT</x:v>
      </x:c>
      <x:c r="E18" s="17" t="str">
        <x:v>https://techengage.com/ray-kurzweil-predictions-scorecard-what-he-got-right-and-wrong/</x:v>
      </x:c>
      <x:c r="F18" s="17" t="str">
        <x:v>Use its readable presentation, not its aggregate percentages or undifferentiated verdicts.</x:v>
      </x:c>
    </x:row>
  </x:sheetData>
  <x:pageMargins left="0.7" right="0.7" top="0.75" bottom="0.75" header="0.3" footer="0.3"/>
  <x:tableParts count="1">
    <x:tablePart xmlns:r="http://schemas.openxmlformats.org/officeDocument/2006/relationships" r:id="Rebb3d49f96a64fcb"/>
  </x:tableParts>
</x:worksheet>
</file>

<file path=xl/worksheets/sheet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3" hidden="0" customWidth="1"/>
    <x:col min="2" max="2" width="40" hidden="0" customWidth="1"/>
    <x:col min="3" max="3" width="40" hidden="0" customWidth="1"/>
  </x:cols>
  <x:sheetData>
    <x:row r="1" ht="32" customHeight="1">
      <x:c r="A1" s="58" t="str">
        <x:v>DATA DICTIONARY</x:v>
      </x:c>
      <x:c r="B1" s="7"/>
      <x:c r="C1" s="7"/>
    </x:row>
    <x:row r="2">
      <x:c r="A2" s="4"/>
      <x:c r="B2" s="4"/>
      <x:c r="C2" s="4"/>
    </x:row>
    <x:row r="3">
      <x:c r="A3" s="4"/>
      <x:c r="B3" s="4"/>
      <x:c r="C3" s="4"/>
    </x:row>
    <x:row r="4">
      <x:c r="A4" s="4"/>
      <x:c r="B4" s="4"/>
      <x:c r="C4" s="4"/>
    </x:row>
    <x:row r="5" ht="32" customHeight="1">
      <x:c r="A5" s="12" t="str">
        <x:v>Field / topic</x:v>
      </x:c>
      <x:c r="B5" s="12" t="str">
        <x:v>Meaning</x:v>
      </x:c>
      <x:c r="C5" s="12" t="str">
        <x:v>Guardrail</x:v>
      </x:c>
    </x:row>
    <x:row r="6" ht="58" customHeight="1">
      <x:c r="A6" s="17" t="str">
        <x:v>Record ID</x:v>
      </x:c>
      <x:c r="B6" s="17" t="str">
        <x:v>Stable import identifier; do not reuse after merging or excluding.</x:v>
      </x:c>
      <x:c r="C6" s="17" t="str">
        <x:v>Keeps original notes and future audit decisions traceable.</x:v>
      </x:c>
    </x:row>
    <x:row r="7" ht="58" customHeight="1">
      <x:c r="A7" s="17" t="str">
        <x:v>Prediction — imported lead</x:v>
      </x:c>
      <x:c r="B7" s="17" t="str">
        <x:v>Legacy paraphrase, unchanged.</x:v>
      </x:c>
      <x:c r="C7" s="17" t="str">
        <x:v>Not a substitute for checked original wording.</x:v>
      </x:c>
    </x:row>
    <x:row r="8" ht="58" customHeight="1">
      <x:c r="A8" s="17" t="str">
        <x:v>Confirmed deadline year</x:v>
      </x:c>
      <x:c r="B8" s="17" t="str">
        <x:v>Numerical endpoint supported by original source.</x:v>
      </x:c>
      <x:c r="C8" s="17" t="str">
        <x:v>Keep original interval and words in Date precision. Use full-date logic for exact day/month targets.</x:v>
      </x:c>
    </x:row>
    <x:row r="9" ht="58" customHeight="1">
      <x:c r="A9" s="17" t="str">
        <x:v>Source year — unconfirmed</x:v>
      </x:c>
      <x:c r="B9" s="17" t="str">
        <x:v>Year parsed from the earlier source label.</x:v>
      </x:c>
      <x:c r="C9" s="17" t="str">
        <x:v>Do not use for forecast-horizon statistics until Publication year confirmed is filled.</x:v>
      </x:c>
    </x:row>
    <x:row r="10" ht="58" customHeight="1">
      <x:c r="A10" s="17" t="str">
        <x:v>At-deadline outcome</x:v>
      </x:c>
      <x:c r="B10" s="17" t="str">
        <x:v>FULL / PARTIAL / NOT_FULFILLED / NOT_DUE / UNASSESSABLE / UNREVIEWED.</x:v>
      </x:c>
      <x:c r="C10" s="17" t="str">
        <x:v>Historical verdict stays fixed when a forecast later comes true.</x:v>
      </x:c>
    </x:row>
    <x:row r="11" ht="58" customHeight="1">
      <x:c r="A11" s="17" t="str">
        <x:v>Outcome at review</x:v>
      </x:c>
      <x:c r="B11" s="17" t="str">
        <x:v>FULL / PARTIAL / NOT_FULFILLED / UNASSESSABLE / UNREVIEWED.</x:v>
      </x:c>
      <x:c r="C11" s="17" t="str">
        <x:v>Separate from deadline verdict; use review-specific evidence.</x:v>
      </x:c>
    </x:row>
    <x:row r="12" ht="58" customHeight="1">
      <x:c r="A12" s="17" t="str">
        <x:v>First full-achievement year</x:v>
      </x:c>
      <x:c r="B12" s="17" t="str">
        <x:v>First documented year the entire criterion was met.</x:v>
      </x:c>
      <x:c r="C12" s="17" t="str">
        <x:v>Not the year a related prototype appeared. Leave blank for partial/unmet claims.</x:v>
      </x:c>
    </x:row>
    <x:row r="13" ht="58" customHeight="1">
      <x:c r="A13" s="17" t="str">
        <x:v>Review year</x:v>
      </x:c>
      <x:c r="B13" s="17" t="str">
        <x:v>2026 in this version, with snapshot date 2026-10-13.</x:v>
      </x:c>
      <x:c r="C13" s="17" t="str">
        <x:v>Year-only deadlines in 2026 remain open; due cohort is deadlines through 2025.</x:v>
      </x:c>
    </x:row>
    <x:row r="14" ht="58" customHeight="1">
      <x:c r="A14" s="17" t="str">
        <x:v>Review state</x:v>
      </x:c>
      <x:c r="B14" s="17" t="str">
        <x:v>UNREVIEWED / ATTRIBUTION_CHECKED / EVIDENCE_CHECKED / VERIFIED / EXCLUDED.</x:v>
      </x:c>
      <x:c r="C14" s="17" t="str">
        <x:v>VERIFIED requires both source and outcome review plus explicit criteria.</x:v>
      </x:c>
    </x:row>
    <x:row r="15" ht="58" customHeight="1">
      <x:c r="A15" s="17" t="str">
        <x:v>Canonical for statistics?</x:v>
      </x:c>
      <x:c r="B15" s="17" t="str">
        <x:v>YES only after deduplication and claim-unit review.</x:v>
      </x:c>
      <x:c r="C15" s="17" t="str">
        <x:v>Repeated mentions do not create additional hits or misses.</x:v>
      </x:c>
    </x:row>
    <x:row r="16" ht="58" customHeight="1">
      <x:c r="A16" s="17" t="str">
        <x:v>Forecast family ID</x:v>
      </x:c>
      <x:c r="B16" s="17" t="str">
        <x:v>Shared identifier for materially related forecast versions.</x:v>
      </x:c>
      <x:c r="C16" s="17" t="str">
        <x:v>Revised deadlines remain separate historical versions, but family-level summary controls repetition.</x:v>
      </x:c>
    </x:row>
    <x:row r="17" ht="58" customHeight="1">
      <x:c r="A17" s="17" t="str">
        <x:v>Parent statement ID</x:v>
      </x:c>
      <x:c r="B17" s="17" t="str">
        <x:v>Identifier linking atomic subclaims to the original sentence or paragraph.</x:v>
      </x:c>
      <x:c r="C17" s="17" t="str">
        <x:v>Do not split a quantity or adoption threshold into weaker claims just to manufacture partial credit.</x:v>
      </x:c>
    </x:row>
    <x:row r="18" ht="58" customHeight="1">
      <x:c r="A18" s="17" t="str">
        <x:v>Prediction source URL / locator</x:v>
      </x:c>
      <x:c r="B18" s="17" t="str">
        <x:v>Original document plus page, paragraph, edition or timestamp.</x:v>
      </x:c>
      <x:c r="C18" s="17" t="str">
        <x:v>Use an archived URL when needed; record source-access limits.</x:v>
      </x:c>
    </x:row>
    <x:row r="19" ht="58" customHeight="1">
      <x:c r="A19" s="17" t="str">
        <x:v>Outcome evidence URLs</x:v>
      </x:c>
      <x:c r="B19" s="17" t="str">
        <x:v>Independent historical or current outcome evidence.</x:v>
      </x:c>
      <x:c r="C19" s="17" t="str">
        <x:v>Source attribution and outcome evidence are separate checks.</x:v>
      </x:c>
    </x:row>
    <x:row r="20" ht="58" customHeight="1">
      <x:c r="A20" s="17" t="str">
        <x:v>Success criteria / scope</x:v>
      </x:c>
      <x:c r="B20" s="17" t="str">
        <x:v>Capability, degree, price, population, geography, deadline, conditions and units.</x:v>
      </x:c>
      <x:c r="C20" s="17" t="str">
        <x:v>Preserve words such as most, common, routine, possible and all.</x:v>
      </x:c>
    </x:row>
    <x:row r="21" ht="58" customHeight="1">
      <x:c r="A21" s="17" t="str">
        <x:v>Display status</x:v>
      </x:c>
      <x:c r="B21" s="17" t="str">
        <x:v>Formula-derived compact label.</x:v>
      </x:c>
      <x:c r="C21" s="17" t="str">
        <x:v>UNREVIEWED is a workflow state; uncertainty/dispute should be explained in notes.</x:v>
      </x:c>
    </x:row>
    <x:row r="22" ht="58" customHeight="1">
      <x:c r="A22" s="17" t="str">
        <x:v>Drift — years</x:v>
      </x:c>
      <x:c r="B22" s="17" t="str">
        <x:v>First full-achievement year minus confirmed deadline year.</x:v>
      </x:c>
      <x:c r="C22" s="17" t="str">
        <x:v>Negative = early; positive = late. Never fill for unmet claims.</x:v>
      </x:c>
    </x:row>
    <x:row r="23" ht="58" customHeight="1">
      <x:c r="A23" s="17" t="str">
        <x:v>Overdue — years</x:v>
      </x:c>
      <x:c r="B23" s="17" t="str">
        <x:v>Review year minus deadline for verified overdue unmet/partial claims.</x:v>
      </x:c>
      <x:c r="C23" s="17" t="str">
        <x:v>Approximate calendar-year count, not an exact duration since December 31.</x:v>
      </x:c>
    </x:row>
    <x:row r="24" ht="58" customHeight="1">
      <x:c r="A24" s="17" t="str">
        <x:v>Due and eligible</x:v>
      </x:c>
      <x:c r="B24" s="17" t="str">
        <x:v>Verified, canonical, scorable, numerical deadline before review year.</x:v>
      </x:c>
      <x:c r="C24" s="17" t="str">
        <x:v>No future predictions, even early successes, in the mature-cohort denominator.</x:v>
      </x:c>
    </x:row>
    <x:row r="25" ht="58" customHeight="1">
      <x:c r="A25" s="17" t="str">
        <x:v>On-time full hit</x:v>
      </x:c>
      <x:c r="B25" s="17" t="str">
        <x:v>1 only for eligible rows with FULL at the deadline.</x:v>
      </x:c>
      <x:c r="C25" s="17" t="str">
        <x:v>Strict primary accuracy measure.</x:v>
      </x:c>
    </x:row>
    <x:row r="26" ht="58" customHeight="1">
      <x:c r="A26" s="17" t="str">
        <x:v>Full realization hit</x:v>
      </x:c>
      <x:c r="B26" s="17" t="str">
        <x:v>1 for eligible rows FULL at deadline or FULL by review.</x:v>
      </x:c>
      <x:c r="C26" s="17" t="str">
        <x:v>Not a promise of eventual truth for remaining claims.</x:v>
      </x:c>
    </x:row>
    <x:row r="27" ht="58" customHeight="1">
      <x:c r="A27" s="17" t="str">
        <x:v>Missing fields for richer data</x:v>
      </x:c>
      <x:c r="B27" s="17" t="str">
        <x:v>As-of date; original publication date; exact quote; country; condition; units; alternative reading; reviewer; history.</x:v>
      </x:c>
      <x:c r="C27" s="17" t="str">
        <x:v>Retain these in notes initially and promote them to columns during canonicalization.</x:v>
      </x:c>
    </x:row>
    <x:row r="28" ht="58" customHeight="1">
      <x:c r="A28" s="17" t="str">
        <x:v>Capacity</x:v>
      </x:c>
      <x:c r="B28" s="17" t="str">
        <x:v>Formula-ready Ledger rows 6–505; 88 are currently populated.</x:v>
      </x:c>
      <x:c r="C28" s="17" t="str">
        <x:v>These blank rows are capacity, not extracted predictions. Extend formulas and summaries if expanding beyond 500.</x:v>
      </x:c>
    </x:row>
  </x:sheetData>
  <x:pageMargins left="0.7" right="0.7" top="0.75" bottom="0.75" header="0.3" footer="0.3"/>
  <x:tableParts count="1">
    <x:tablePart xmlns:r="http://schemas.openxmlformats.org/officeDocument/2006/relationships" r:id="R9efa528d0ebc4227"/>
  </x:tableParts>
</x:worksheet>
</file>